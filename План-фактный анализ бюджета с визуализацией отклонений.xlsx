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Мурлыкина\OneDrive\Desktop\Кейсы\кейс 3\"/>
    </mc:Choice>
  </mc:AlternateContent>
  <xr:revisionPtr revIDLastSave="0" documentId="13_ncr:1_{035F19C9-2A51-475B-BBDD-25F7059F05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Анализ бюдже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</calcChain>
</file>

<file path=xl/sharedStrings.xml><?xml version="1.0" encoding="utf-8"?>
<sst xmlns="http://schemas.openxmlformats.org/spreadsheetml/2006/main" count="42" uniqueCount="15">
  <si>
    <t>месяц</t>
  </si>
  <si>
    <t>Статья расхода</t>
  </si>
  <si>
    <t>План</t>
  </si>
  <si>
    <t>Факт</t>
  </si>
  <si>
    <t>Отклонение (руб)</t>
  </si>
  <si>
    <t>Отклонение (%)</t>
  </si>
  <si>
    <t>Январь</t>
  </si>
  <si>
    <t>Реклама</t>
  </si>
  <si>
    <t>Офисные расходы</t>
  </si>
  <si>
    <t>Логистика</t>
  </si>
  <si>
    <t>Февраль</t>
  </si>
  <si>
    <t>Март</t>
  </si>
  <si>
    <t>Апрель</t>
  </si>
  <si>
    <t>Май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</si>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</sst>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rgb="FF0F1115"/>
      <name val="Consolas"/>
      <family val="3"/>
      <charset val="204"/>
    </font>
    <font>
      <sz val="8"/>
      <name val="Calibri"/>
      <family val="2"/>
      <scheme val="minor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3" fontId="3" fillId="0" borderId="3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3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</cellXfs>
  <cellStyles count="1">
    <cellStyle name="Обычный" xfId="0" builtinId="0"/>
  </cellStyles>
  <dxfs count="11"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606FA-949D-46CA-886B-89267DBA2FC3}" name="Таблица1" displayName="Таблица1" ref="A1:F19" totalsRowShown="0" headerRowDxfId="0" dataDxfId="10" headerRowBorderDxfId="8" tableBorderDxfId="9" totalsRowBorderDxfId="7">
  <autoFilter ref="A1:F19" xr:uid="{723606FA-949D-46CA-886B-89267DBA2FC3}"/>
  <tableColumns count="6">
    <tableColumn id="1" xr3:uid="{01D7B737-041F-4652-9CF1-D262D4F11CF8}" name="месяц" dataDxfId="6"/>
    <tableColumn id="2" xr3:uid="{73C241D0-7DB2-413F-9E9E-89B3F2A2C767}" name="Статья расхода" dataDxfId="5"/>
    <tableColumn id="3" xr3:uid="{B60AE121-4215-41E7-A1E0-4A3A140D1317}" name="План" dataDxfId="4"/>
    <tableColumn id="4" xr3:uid="{BFF1DD6B-1E43-49CC-8902-C775DD06AF72}" name="Факт" dataDxfId="3"/>
    <tableColumn id="5" xr3:uid="{EABF03F9-590D-48D4-B82E-EA9B944BC8BE}" name="Отклонение (руб)" dataDxfId="2">
      <calculatedColumnFormula>Таблица1[[#This Row],[Факт]]-Таблица1[[#This Row],[План]]</calculatedColumnFormula>
    </tableColumn>
    <tableColumn id="6" xr3:uid="{0EE1E504-FCD3-4A1B-97A7-3C8D3E22F70C}" name="Отклонение (%)" dataDxfId="1">
      <calculatedColumnFormula>IFERROR(E2/C2,0)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21" sqref="A21:XFD1048576"/>
    </sheetView>
  </sheetViews>
  <sheetFormatPr defaultColWidth="0" defaultRowHeight="15" zeroHeight="1" x14ac:dyDescent="0.25"/>
  <cols>
    <col min="1" max="1" width="9" bestFit="1" customWidth="1"/>
    <col min="2" max="2" width="19.140625" customWidth="1"/>
    <col min="3" max="4" width="9.140625" style="2" customWidth="1"/>
    <col min="5" max="5" width="21.42578125" style="2" customWidth="1"/>
    <col min="6" max="6" width="19.140625" style="3" customWidth="1"/>
    <col min="7" max="7" width="27.140625" customWidth="1"/>
    <col min="8" max="8" width="17.28515625" hidden="1"/>
    <col min="9" max="9" width="33" hidden="1"/>
    <col min="10" max="10" width="31.28515625" hidden="1"/>
    <col min="11" max="11" width="9.140625" hidden="1"/>
    <col min="12" max="12" width="18.42578125" hidden="1"/>
    <col min="13" max="13" width="11.28515625" hidden="1"/>
    <col min="14" max="16384" width="9.140625" hidden="1"/>
  </cols>
  <sheetData>
    <row r="1" spans="1:7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1"/>
    </row>
    <row r="2" spans="1:7" x14ac:dyDescent="0.25">
      <c r="A2" s="8" t="s">
        <v>6</v>
      </c>
      <c r="B2" s="9" t="s">
        <v>7</v>
      </c>
      <c r="C2" s="10">
        <v>100000</v>
      </c>
      <c r="D2" s="10">
        <v>95000</v>
      </c>
      <c r="E2" s="10">
        <f>Таблица1[[#This Row],[Факт]]-Таблица1[[#This Row],[План]]</f>
        <v>-5000</v>
      </c>
      <c r="F2" s="11">
        <f t="shared" ref="F2:F19" si="0">IFERROR(E2/C2,0)</f>
        <v>-0.05</v>
      </c>
      <c r="G2" s="1"/>
    </row>
    <row r="3" spans="1:7" x14ac:dyDescent="0.25">
      <c r="A3" s="8" t="s">
        <v>6</v>
      </c>
      <c r="B3" s="9" t="s">
        <v>8</v>
      </c>
      <c r="C3" s="10">
        <v>50000</v>
      </c>
      <c r="D3" s="10">
        <v>52000</v>
      </c>
      <c r="E3" s="10">
        <f>Таблица1[[#This Row],[Факт]]-Таблица1[[#This Row],[План]]</f>
        <v>2000</v>
      </c>
      <c r="F3" s="11">
        <f t="shared" si="0"/>
        <v>0.04</v>
      </c>
    </row>
    <row r="4" spans="1:7" x14ac:dyDescent="0.25">
      <c r="A4" s="8" t="s">
        <v>6</v>
      </c>
      <c r="B4" s="9" t="s">
        <v>9</v>
      </c>
      <c r="C4" s="10">
        <v>80000</v>
      </c>
      <c r="D4" s="10">
        <v>83000</v>
      </c>
      <c r="E4" s="10">
        <f>Таблица1[[#This Row],[Факт]]-Таблица1[[#This Row],[План]]</f>
        <v>3000</v>
      </c>
      <c r="F4" s="11">
        <f t="shared" si="0"/>
        <v>3.7499999999999999E-2</v>
      </c>
    </row>
    <row r="5" spans="1:7" x14ac:dyDescent="0.25">
      <c r="A5" s="8" t="s">
        <v>10</v>
      </c>
      <c r="B5" s="9" t="s">
        <v>7</v>
      </c>
      <c r="C5" s="10">
        <v>105000</v>
      </c>
      <c r="D5" s="10">
        <v>112000</v>
      </c>
      <c r="E5" s="10">
        <f>Таблица1[[#This Row],[Факт]]-Таблица1[[#This Row],[План]]</f>
        <v>7000</v>
      </c>
      <c r="F5" s="11">
        <f t="shared" si="0"/>
        <v>6.6666666666666666E-2</v>
      </c>
    </row>
    <row r="6" spans="1:7" x14ac:dyDescent="0.25">
      <c r="A6" s="8" t="s">
        <v>10</v>
      </c>
      <c r="B6" s="9" t="s">
        <v>8</v>
      </c>
      <c r="C6" s="10">
        <v>52000</v>
      </c>
      <c r="D6" s="10">
        <v>51000</v>
      </c>
      <c r="E6" s="10">
        <f>Таблица1[[#This Row],[Факт]]-Таблица1[[#This Row],[План]]</f>
        <v>-1000</v>
      </c>
      <c r="F6" s="11">
        <f t="shared" si="0"/>
        <v>-1.9230769230769232E-2</v>
      </c>
    </row>
    <row r="7" spans="1:7" x14ac:dyDescent="0.25">
      <c r="A7" s="8" t="s">
        <v>10</v>
      </c>
      <c r="B7" s="9" t="s">
        <v>9</v>
      </c>
      <c r="C7" s="10">
        <v>82000</v>
      </c>
      <c r="D7" s="10">
        <v>78000</v>
      </c>
      <c r="E7" s="10">
        <f>Таблица1[[#This Row],[Факт]]-Таблица1[[#This Row],[План]]</f>
        <v>-4000</v>
      </c>
      <c r="F7" s="11">
        <f t="shared" si="0"/>
        <v>-4.878048780487805E-2</v>
      </c>
    </row>
    <row r="8" spans="1:7" x14ac:dyDescent="0.25">
      <c r="A8" s="8" t="s">
        <v>11</v>
      </c>
      <c r="B8" s="9" t="s">
        <v>7</v>
      </c>
      <c r="C8" s="10">
        <v>110000</v>
      </c>
      <c r="D8" s="10">
        <v>125000</v>
      </c>
      <c r="E8" s="10">
        <f>Таблица1[[#This Row],[Факт]]-Таблица1[[#This Row],[План]]</f>
        <v>15000</v>
      </c>
      <c r="F8" s="11">
        <f t="shared" si="0"/>
        <v>0.13636363636363635</v>
      </c>
    </row>
    <row r="9" spans="1:7" x14ac:dyDescent="0.25">
      <c r="A9" s="8" t="s">
        <v>11</v>
      </c>
      <c r="B9" s="9" t="s">
        <v>8</v>
      </c>
      <c r="C9" s="10">
        <v>53000</v>
      </c>
      <c r="D9" s="10">
        <v>55000</v>
      </c>
      <c r="E9" s="10">
        <f>Таблица1[[#This Row],[Факт]]-Таблица1[[#This Row],[План]]</f>
        <v>2000</v>
      </c>
      <c r="F9" s="11">
        <f t="shared" si="0"/>
        <v>3.7735849056603772E-2</v>
      </c>
    </row>
    <row r="10" spans="1:7" x14ac:dyDescent="0.25">
      <c r="A10" s="8" t="s">
        <v>11</v>
      </c>
      <c r="B10" s="9" t="s">
        <v>9</v>
      </c>
      <c r="C10" s="10">
        <v>84000</v>
      </c>
      <c r="D10" s="10">
        <v>81000</v>
      </c>
      <c r="E10" s="10">
        <f>Таблица1[[#This Row],[Факт]]-Таблица1[[#This Row],[План]]</f>
        <v>-3000</v>
      </c>
      <c r="F10" s="11">
        <f t="shared" si="0"/>
        <v>-3.5714285714285712E-2</v>
      </c>
    </row>
    <row r="11" spans="1:7" x14ac:dyDescent="0.25">
      <c r="A11" s="8" t="s">
        <v>12</v>
      </c>
      <c r="B11" s="9" t="s">
        <v>7</v>
      </c>
      <c r="C11" s="10">
        <v>115000</v>
      </c>
      <c r="D11" s="10">
        <v>108000</v>
      </c>
      <c r="E11" s="10">
        <f>Таблица1[[#This Row],[Факт]]-Таблица1[[#This Row],[План]]</f>
        <v>-7000</v>
      </c>
      <c r="F11" s="11">
        <f t="shared" si="0"/>
        <v>-6.0869565217391307E-2</v>
      </c>
    </row>
    <row r="12" spans="1:7" x14ac:dyDescent="0.25">
      <c r="A12" s="8" t="s">
        <v>12</v>
      </c>
      <c r="B12" s="9" t="s">
        <v>8</v>
      </c>
      <c r="C12" s="10">
        <v>54000</v>
      </c>
      <c r="D12" s="10">
        <v>53000</v>
      </c>
      <c r="E12" s="10">
        <f>Таблица1[[#This Row],[Факт]]-Таблица1[[#This Row],[План]]</f>
        <v>-1000</v>
      </c>
      <c r="F12" s="11">
        <f t="shared" si="0"/>
        <v>-1.8518518518518517E-2</v>
      </c>
    </row>
    <row r="13" spans="1:7" x14ac:dyDescent="0.25">
      <c r="A13" s="8" t="s">
        <v>12</v>
      </c>
      <c r="B13" s="9" t="s">
        <v>9</v>
      </c>
      <c r="C13" s="10">
        <v>86000</v>
      </c>
      <c r="D13" s="10">
        <v>89000</v>
      </c>
      <c r="E13" s="10">
        <f>Таблица1[[#This Row],[Факт]]-Таблица1[[#This Row],[План]]</f>
        <v>3000</v>
      </c>
      <c r="F13" s="11">
        <f t="shared" si="0"/>
        <v>3.4883720930232558E-2</v>
      </c>
    </row>
    <row r="14" spans="1:7" x14ac:dyDescent="0.25">
      <c r="A14" s="8" t="s">
        <v>13</v>
      </c>
      <c r="B14" s="9" t="s">
        <v>7</v>
      </c>
      <c r="C14" s="10">
        <v>120000</v>
      </c>
      <c r="D14" s="10">
        <v>135000</v>
      </c>
      <c r="E14" s="10">
        <f>Таблица1[[#This Row],[Факт]]-Таблица1[[#This Row],[План]]</f>
        <v>15000</v>
      </c>
      <c r="F14" s="11">
        <f t="shared" si="0"/>
        <v>0.125</v>
      </c>
    </row>
    <row r="15" spans="1:7" x14ac:dyDescent="0.25">
      <c r="A15" s="8" t="s">
        <v>13</v>
      </c>
      <c r="B15" s="9" t="s">
        <v>8</v>
      </c>
      <c r="C15" s="10">
        <v>55000</v>
      </c>
      <c r="D15" s="10">
        <v>57000</v>
      </c>
      <c r="E15" s="10">
        <f>Таблица1[[#This Row],[Факт]]-Таблица1[[#This Row],[План]]</f>
        <v>2000</v>
      </c>
      <c r="F15" s="11">
        <f t="shared" si="0"/>
        <v>3.6363636363636362E-2</v>
      </c>
    </row>
    <row r="16" spans="1:7" x14ac:dyDescent="0.25">
      <c r="A16" s="8" t="s">
        <v>13</v>
      </c>
      <c r="B16" s="9" t="s">
        <v>9</v>
      </c>
      <c r="C16" s="10">
        <v>88000</v>
      </c>
      <c r="D16" s="10">
        <v>85000</v>
      </c>
      <c r="E16" s="10">
        <f>Таблица1[[#This Row],[Факт]]-Таблица1[[#This Row],[План]]</f>
        <v>-3000</v>
      </c>
      <c r="F16" s="11">
        <f t="shared" si="0"/>
        <v>-3.4090909090909088E-2</v>
      </c>
    </row>
    <row r="17" spans="1:6" x14ac:dyDescent="0.25">
      <c r="A17" s="8" t="s">
        <v>14</v>
      </c>
      <c r="B17" s="9" t="s">
        <v>7</v>
      </c>
      <c r="C17" s="10">
        <v>125000</v>
      </c>
      <c r="D17" s="10">
        <v>118000</v>
      </c>
      <c r="E17" s="10">
        <f>Таблица1[[#This Row],[Факт]]-Таблица1[[#This Row],[План]]</f>
        <v>-7000</v>
      </c>
      <c r="F17" s="11">
        <f t="shared" si="0"/>
        <v>-5.6000000000000001E-2</v>
      </c>
    </row>
    <row r="18" spans="1:6" x14ac:dyDescent="0.25">
      <c r="A18" s="8" t="s">
        <v>14</v>
      </c>
      <c r="B18" s="9" t="s">
        <v>8</v>
      </c>
      <c r="C18" s="10">
        <v>56000</v>
      </c>
      <c r="D18" s="10">
        <v>54000</v>
      </c>
      <c r="E18" s="10">
        <f>Таблица1[[#This Row],[Факт]]-Таблица1[[#This Row],[План]]</f>
        <v>-2000</v>
      </c>
      <c r="F18" s="11">
        <f t="shared" si="0"/>
        <v>-3.5714285714285712E-2</v>
      </c>
    </row>
    <row r="19" spans="1:6" x14ac:dyDescent="0.25">
      <c r="A19" s="12" t="s">
        <v>14</v>
      </c>
      <c r="B19" s="13" t="s">
        <v>9</v>
      </c>
      <c r="C19" s="14">
        <v>90000</v>
      </c>
      <c r="D19" s="14">
        <v>93000</v>
      </c>
      <c r="E19" s="14">
        <f>Таблица1[[#This Row],[Факт]]-Таблица1[[#This Row],[План]]</f>
        <v>3000</v>
      </c>
      <c r="F19" s="15">
        <f t="shared" si="0"/>
        <v>3.3333333333333333E-2</v>
      </c>
    </row>
    <row r="20" spans="1:6" x14ac:dyDescent="0.25"/>
  </sheetData>
  <phoneticPr fontId="2" type="noConversion"/>
  <conditionalFormatting sqref="E2:E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{107CC517-C73D-4B82-B8D2-AA6E6A7AA439}</x14:id>
        </ext>
      </extLst>
    </cfRule>
  </conditionalFormatting>
  <conditionalFormatting sqref="E20:E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{4D5CD52F-FCF6-4D53-BC57-083BD1B86254}</x14:id>
        </ext>
      </extLst>
    </cfRule>
  </conditionalFormatting>
  <conditionalFormatting sqref="F2:F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{D2E334F8-52F1-4F4B-9189-B33AE85DBF5F}</x14:id>
        </ext>
      </extLst>
    </cfRule>
  </conditionalFormatting>
  <conditionalFormatting sqref="F20:F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{6F9381EC-E649-4069-BF62-C765A936D56C}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CC517-C73D-4B82-B8D2-AA6E6A7AA4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4D5CD52F-FCF6-4D53-BC57-083BD1B862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E20:E1048576</xm:sqref>
        </x14:conditionalFormatting>
        <x14:conditionalFormatting xmlns:xm="http://schemas.microsoft.com/office/excel/2006/main">
          <x14:cfRule type="dataBar" id="{D2E334F8-52F1-4F4B-9189-B33AE85DBF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dataBar" id="{6F9381EC-E649-4069-BF62-C765A936D5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бюджета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Мурлыкина</dc:creator>
  <cp:lastModifiedBy>Мария Мурлыка</cp:lastModifiedBy>
  <dcterms:created xsi:type="dcterms:W3CDTF">2015-06-05T18:19:34Z</dcterms:created>
  <dcterms:modified xsi:type="dcterms:W3CDTF">2025-12-04T00:45:55Z</dcterms:modified>
</cp:coreProperties>
</file>