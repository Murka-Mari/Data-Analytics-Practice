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Мурлыкина\OneDrive\Desktop\Кейсы\Анализ эффективности интернет-магазина\"/>
    </mc:Choice>
  </mc:AlternateContent>
  <xr:revisionPtr revIDLastSave="0" documentId="13_ncr:1_{A5391A4F-6370-4109-BDE2-A5B08E48C4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Дашборд" sheetId="2" r:id="rId1"/>
    <sheet name="Продажи" sheetId="3" r:id="rId2"/>
    <sheet name="Товары" sheetId="4" r:id="rId3"/>
    <sheet name="Анализ" sheetId="5" r:id="rId4"/>
    <sheet name="Сценарии" sheetId="6" r:id="rId5"/>
  </sheets>
  <definedNames>
    <definedName name="ВстроеннаяВременнаяШкала_Дата">#N/A</definedName>
    <definedName name="Срез_Категория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6" l="1"/>
  <c r="E19" i="6"/>
  <c r="D19" i="6"/>
  <c r="C19" i="6"/>
  <c r="D18" i="6"/>
  <c r="C18" i="6"/>
  <c r="D17" i="6"/>
  <c r="E17" i="6"/>
  <c r="C17" i="6"/>
  <c r="C13" i="6"/>
  <c r="C12" i="6"/>
  <c r="C8" i="6"/>
  <c r="C7" i="6"/>
  <c r="C6" i="6"/>
  <c r="C5" i="6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I331" i="3" s="1"/>
  <c r="G330" i="3"/>
  <c r="G329" i="3"/>
  <c r="G328" i="3"/>
  <c r="G327" i="3"/>
  <c r="G326" i="3"/>
  <c r="G325" i="3"/>
  <c r="G324" i="3"/>
  <c r="G323" i="3"/>
  <c r="G322" i="3"/>
  <c r="G321" i="3"/>
  <c r="G320" i="3"/>
  <c r="G319" i="3"/>
  <c r="J319" i="3" s="1"/>
  <c r="G318" i="3"/>
  <c r="G317" i="3"/>
  <c r="G316" i="3"/>
  <c r="G315" i="3"/>
  <c r="G314" i="3"/>
  <c r="G313" i="3"/>
  <c r="G312" i="3"/>
  <c r="G311" i="3"/>
  <c r="G310" i="3"/>
  <c r="G309" i="3"/>
  <c r="G308" i="3"/>
  <c r="G307" i="3"/>
  <c r="I307" i="3" s="1"/>
  <c r="G306" i="3"/>
  <c r="G305" i="3"/>
  <c r="G304" i="3"/>
  <c r="G303" i="3"/>
  <c r="G302" i="3"/>
  <c r="G301" i="3"/>
  <c r="G300" i="3"/>
  <c r="G299" i="3"/>
  <c r="G298" i="3"/>
  <c r="G297" i="3"/>
  <c r="G296" i="3"/>
  <c r="G295" i="3"/>
  <c r="J295" i="3" s="1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J271" i="3" s="1"/>
  <c r="G270" i="3"/>
  <c r="G269" i="3"/>
  <c r="G268" i="3"/>
  <c r="G267" i="3"/>
  <c r="G266" i="3"/>
  <c r="G265" i="3"/>
  <c r="G264" i="3"/>
  <c r="G263" i="3"/>
  <c r="G262" i="3"/>
  <c r="G261" i="3"/>
  <c r="G260" i="3"/>
  <c r="G259" i="3"/>
  <c r="I259" i="3" s="1"/>
  <c r="G258" i="3"/>
  <c r="G257" i="3"/>
  <c r="G256" i="3"/>
  <c r="G255" i="3"/>
  <c r="G254" i="3"/>
  <c r="G253" i="3"/>
  <c r="G252" i="3"/>
  <c r="G251" i="3"/>
  <c r="G250" i="3"/>
  <c r="G249" i="3"/>
  <c r="G248" i="3"/>
  <c r="G247" i="3"/>
  <c r="J247" i="3" s="1"/>
  <c r="G246" i="3"/>
  <c r="G245" i="3"/>
  <c r="G244" i="3"/>
  <c r="G243" i="3"/>
  <c r="G242" i="3"/>
  <c r="G241" i="3"/>
  <c r="G240" i="3"/>
  <c r="G239" i="3"/>
  <c r="G238" i="3"/>
  <c r="G237" i="3"/>
  <c r="G236" i="3"/>
  <c r="G235" i="3"/>
  <c r="I235" i="3" s="1"/>
  <c r="G234" i="3"/>
  <c r="G233" i="3"/>
  <c r="G232" i="3"/>
  <c r="G231" i="3"/>
  <c r="G230" i="3"/>
  <c r="G229" i="3"/>
  <c r="G228" i="3"/>
  <c r="G227" i="3"/>
  <c r="G226" i="3"/>
  <c r="G225" i="3"/>
  <c r="G224" i="3"/>
  <c r="G223" i="3"/>
  <c r="I223" i="3" s="1"/>
  <c r="G222" i="3"/>
  <c r="G221" i="3"/>
  <c r="G220" i="3"/>
  <c r="G219" i="3"/>
  <c r="G218" i="3"/>
  <c r="G217" i="3"/>
  <c r="G216" i="3"/>
  <c r="G215" i="3"/>
  <c r="G214" i="3"/>
  <c r="G213" i="3"/>
  <c r="G212" i="3"/>
  <c r="G211" i="3"/>
  <c r="I211" i="3" s="1"/>
  <c r="G210" i="3"/>
  <c r="G209" i="3"/>
  <c r="G208" i="3"/>
  <c r="G207" i="3"/>
  <c r="G206" i="3"/>
  <c r="G205" i="3"/>
  <c r="G204" i="3"/>
  <c r="G203" i="3"/>
  <c r="G202" i="3"/>
  <c r="G201" i="3"/>
  <c r="G200" i="3"/>
  <c r="G199" i="3"/>
  <c r="I199" i="3" s="1"/>
  <c r="G198" i="3"/>
  <c r="G197" i="3"/>
  <c r="J197" i="3" s="1"/>
  <c r="G196" i="3"/>
  <c r="G195" i="3"/>
  <c r="G194" i="3"/>
  <c r="G193" i="3"/>
  <c r="G192" i="3"/>
  <c r="G191" i="3"/>
  <c r="G190" i="3"/>
  <c r="G189" i="3"/>
  <c r="G188" i="3"/>
  <c r="G187" i="3"/>
  <c r="I187" i="3" s="1"/>
  <c r="G186" i="3"/>
  <c r="G185" i="3"/>
  <c r="J185" i="3" s="1"/>
  <c r="G184" i="3"/>
  <c r="G183" i="3"/>
  <c r="G182" i="3"/>
  <c r="G181" i="3"/>
  <c r="G180" i="3"/>
  <c r="G179" i="3"/>
  <c r="G178" i="3"/>
  <c r="G177" i="3"/>
  <c r="G176" i="3"/>
  <c r="G175" i="3"/>
  <c r="J175" i="3" s="1"/>
  <c r="G174" i="3"/>
  <c r="G173" i="3"/>
  <c r="G172" i="3"/>
  <c r="G171" i="3"/>
  <c r="G170" i="3"/>
  <c r="G169" i="3"/>
  <c r="G168" i="3"/>
  <c r="G167" i="3"/>
  <c r="G166" i="3"/>
  <c r="G165" i="3"/>
  <c r="G164" i="3"/>
  <c r="G163" i="3"/>
  <c r="J163" i="3" s="1"/>
  <c r="G162" i="3"/>
  <c r="G161" i="3"/>
  <c r="I161" i="3" s="1"/>
  <c r="G160" i="3"/>
  <c r="G159" i="3"/>
  <c r="G158" i="3"/>
  <c r="G157" i="3"/>
  <c r="G156" i="3"/>
  <c r="G155" i="3"/>
  <c r="G154" i="3"/>
  <c r="G153" i="3"/>
  <c r="G152" i="3"/>
  <c r="G151" i="3"/>
  <c r="J151" i="3" s="1"/>
  <c r="G150" i="3"/>
  <c r="G149" i="3"/>
  <c r="I149" i="3" s="1"/>
  <c r="G148" i="3"/>
  <c r="G147" i="3"/>
  <c r="G146" i="3"/>
  <c r="G145" i="3"/>
  <c r="G144" i="3"/>
  <c r="G143" i="3"/>
  <c r="G142" i="3"/>
  <c r="G141" i="3"/>
  <c r="G140" i="3"/>
  <c r="G139" i="3"/>
  <c r="J139" i="3" s="1"/>
  <c r="G138" i="3"/>
  <c r="G137" i="3"/>
  <c r="I137" i="3" s="1"/>
  <c r="G136" i="3"/>
  <c r="G135" i="3"/>
  <c r="G134" i="3"/>
  <c r="G133" i="3"/>
  <c r="G132" i="3"/>
  <c r="G131" i="3"/>
  <c r="G130" i="3"/>
  <c r="G129" i="3"/>
  <c r="G128" i="3"/>
  <c r="G127" i="3"/>
  <c r="J127" i="3" s="1"/>
  <c r="G126" i="3"/>
  <c r="G125" i="3"/>
  <c r="I125" i="3" s="1"/>
  <c r="G124" i="3"/>
  <c r="G123" i="3"/>
  <c r="G122" i="3"/>
  <c r="G121" i="3"/>
  <c r="G120" i="3"/>
  <c r="G119" i="3"/>
  <c r="G118" i="3"/>
  <c r="G117" i="3"/>
  <c r="G116" i="3"/>
  <c r="G115" i="3"/>
  <c r="I115" i="3" s="1"/>
  <c r="G114" i="3"/>
  <c r="G113" i="3"/>
  <c r="I113" i="3" s="1"/>
  <c r="G112" i="3"/>
  <c r="G111" i="3"/>
  <c r="G110" i="3"/>
  <c r="G109" i="3"/>
  <c r="G108" i="3"/>
  <c r="G107" i="3"/>
  <c r="G106" i="3"/>
  <c r="G105" i="3"/>
  <c r="G104" i="3"/>
  <c r="G103" i="3"/>
  <c r="I103" i="3" s="1"/>
  <c r="G102" i="3"/>
  <c r="G101" i="3"/>
  <c r="I101" i="3" s="1"/>
  <c r="G100" i="3"/>
  <c r="G99" i="3"/>
  <c r="G98" i="3"/>
  <c r="G97" i="3"/>
  <c r="G96" i="3"/>
  <c r="G95" i="3"/>
  <c r="G94" i="3"/>
  <c r="G93" i="3"/>
  <c r="G92" i="3"/>
  <c r="G91" i="3"/>
  <c r="I91" i="3" s="1"/>
  <c r="G90" i="3"/>
  <c r="G89" i="3"/>
  <c r="I89" i="3" s="1"/>
  <c r="G88" i="3"/>
  <c r="G87" i="3"/>
  <c r="G86" i="3"/>
  <c r="G85" i="3"/>
  <c r="G84" i="3"/>
  <c r="G83" i="3"/>
  <c r="G82" i="3"/>
  <c r="G81" i="3"/>
  <c r="G80" i="3"/>
  <c r="G79" i="3"/>
  <c r="I79" i="3" s="1"/>
  <c r="G78" i="3"/>
  <c r="G77" i="3"/>
  <c r="I77" i="3" s="1"/>
  <c r="G76" i="3"/>
  <c r="G75" i="3"/>
  <c r="G74" i="3"/>
  <c r="G73" i="3"/>
  <c r="G72" i="3"/>
  <c r="G71" i="3"/>
  <c r="G70" i="3"/>
  <c r="G69" i="3"/>
  <c r="G68" i="3"/>
  <c r="G67" i="3"/>
  <c r="I67" i="3" s="1"/>
  <c r="G66" i="3"/>
  <c r="G65" i="3"/>
  <c r="I65" i="3" s="1"/>
  <c r="G64" i="3"/>
  <c r="G63" i="3"/>
  <c r="G62" i="3"/>
  <c r="G61" i="3"/>
  <c r="G60" i="3"/>
  <c r="G59" i="3"/>
  <c r="G58" i="3"/>
  <c r="G57" i="3"/>
  <c r="G56" i="3"/>
  <c r="G55" i="3"/>
  <c r="I55" i="3" s="1"/>
  <c r="G54" i="3"/>
  <c r="G53" i="3"/>
  <c r="I53" i="3" s="1"/>
  <c r="G52" i="3"/>
  <c r="G51" i="3"/>
  <c r="G50" i="3"/>
  <c r="G49" i="3"/>
  <c r="G48" i="3"/>
  <c r="G47" i="3"/>
  <c r="G46" i="3"/>
  <c r="G45" i="3"/>
  <c r="G44" i="3"/>
  <c r="G43" i="3"/>
  <c r="I43" i="3" s="1"/>
  <c r="G42" i="3"/>
  <c r="G41" i="3"/>
  <c r="I41" i="3" s="1"/>
  <c r="G40" i="3"/>
  <c r="G39" i="3"/>
  <c r="G38" i="3"/>
  <c r="G37" i="3"/>
  <c r="G36" i="3"/>
  <c r="G35" i="3"/>
  <c r="G34" i="3"/>
  <c r="G33" i="3"/>
  <c r="G32" i="3"/>
  <c r="G31" i="3"/>
  <c r="J31" i="3" s="1"/>
  <c r="G30" i="3"/>
  <c r="G29" i="3"/>
  <c r="I29" i="3" s="1"/>
  <c r="G28" i="3"/>
  <c r="G27" i="3"/>
  <c r="G26" i="3"/>
  <c r="G25" i="3"/>
  <c r="G24" i="3"/>
  <c r="G23" i="3"/>
  <c r="G22" i="3"/>
  <c r="G21" i="3"/>
  <c r="G20" i="3"/>
  <c r="G19" i="3"/>
  <c r="J19" i="3" s="1"/>
  <c r="G18" i="3"/>
  <c r="G17" i="3"/>
  <c r="I17" i="3" s="1"/>
  <c r="G16" i="3"/>
  <c r="G15" i="3"/>
  <c r="G14" i="3"/>
  <c r="G13" i="3"/>
  <c r="G12" i="3"/>
  <c r="G11" i="3"/>
  <c r="G10" i="3"/>
  <c r="G9" i="3"/>
  <c r="G8" i="3"/>
  <c r="G7" i="3"/>
  <c r="I7" i="3" s="1"/>
  <c r="G6" i="3"/>
  <c r="G5" i="3"/>
  <c r="I5" i="3" s="1"/>
  <c r="G4" i="3"/>
  <c r="G3" i="3"/>
  <c r="G2" i="3"/>
  <c r="C7" i="2"/>
  <c r="J269" i="3" l="1"/>
  <c r="I343" i="3"/>
  <c r="J221" i="3"/>
  <c r="J283" i="3"/>
  <c r="J209" i="3"/>
  <c r="J281" i="3"/>
  <c r="J305" i="3"/>
  <c r="J257" i="3"/>
  <c r="J245" i="3"/>
  <c r="J233" i="3"/>
  <c r="J329" i="3"/>
  <c r="J317" i="3"/>
  <c r="J6" i="3"/>
  <c r="I3" i="3"/>
  <c r="J15" i="3"/>
  <c r="I27" i="3"/>
  <c r="J39" i="3"/>
  <c r="J51" i="3"/>
  <c r="J63" i="3"/>
  <c r="J75" i="3"/>
  <c r="J87" i="3"/>
  <c r="J99" i="3"/>
  <c r="I111" i="3"/>
  <c r="J123" i="3"/>
  <c r="I135" i="3"/>
  <c r="J147" i="3"/>
  <c r="I159" i="3"/>
  <c r="J171" i="3"/>
  <c r="I183" i="3"/>
  <c r="I195" i="3"/>
  <c r="I207" i="3"/>
  <c r="J219" i="3"/>
  <c r="J231" i="3"/>
  <c r="J243" i="3"/>
  <c r="J255" i="3"/>
  <c r="J267" i="3"/>
  <c r="J279" i="3"/>
  <c r="J291" i="3"/>
  <c r="J303" i="3"/>
  <c r="J315" i="3"/>
  <c r="J327" i="3"/>
  <c r="J339" i="3"/>
  <c r="J351" i="3"/>
  <c r="J363" i="3"/>
  <c r="J375" i="3"/>
  <c r="I387" i="3"/>
  <c r="J399" i="3"/>
  <c r="J20" i="3"/>
  <c r="J44" i="3"/>
  <c r="J80" i="3"/>
  <c r="J104" i="3"/>
  <c r="I128" i="3"/>
  <c r="I152" i="3"/>
  <c r="J164" i="3"/>
  <c r="J200" i="3"/>
  <c r="J212" i="3"/>
  <c r="J224" i="3"/>
  <c r="J248" i="3"/>
  <c r="J272" i="3"/>
  <c r="I8" i="3"/>
  <c r="J32" i="3"/>
  <c r="I56" i="3"/>
  <c r="J68" i="3"/>
  <c r="J92" i="3"/>
  <c r="I116" i="3"/>
  <c r="J140" i="3"/>
  <c r="J176" i="3"/>
  <c r="J236" i="3"/>
  <c r="J4" i="3"/>
  <c r="J16" i="3"/>
  <c r="J28" i="3"/>
  <c r="J40" i="3"/>
  <c r="J52" i="3"/>
  <c r="J64" i="3"/>
  <c r="J76" i="3"/>
  <c r="J88" i="3"/>
  <c r="J100" i="3"/>
  <c r="J112" i="3"/>
  <c r="J124" i="3"/>
  <c r="J136" i="3"/>
  <c r="J148" i="3"/>
  <c r="J160" i="3"/>
  <c r="J172" i="3"/>
  <c r="J184" i="3"/>
  <c r="J208" i="3"/>
  <c r="J220" i="3"/>
  <c r="J244" i="3"/>
  <c r="I256" i="3"/>
  <c r="J268" i="3"/>
  <c r="J280" i="3"/>
  <c r="J292" i="3"/>
  <c r="J304" i="3"/>
  <c r="J316" i="3"/>
  <c r="J328" i="3"/>
  <c r="I352" i="3"/>
  <c r="J364" i="3"/>
  <c r="J376" i="3"/>
  <c r="J388" i="3"/>
  <c r="I400" i="3"/>
  <c r="I412" i="3"/>
  <c r="I424" i="3"/>
  <c r="J18" i="3"/>
  <c r="J30" i="3"/>
  <c r="J42" i="3"/>
  <c r="J54" i="3"/>
  <c r="J66" i="3"/>
  <c r="I78" i="3"/>
  <c r="I90" i="3"/>
  <c r="J102" i="3"/>
  <c r="I114" i="3"/>
  <c r="J174" i="3"/>
  <c r="J186" i="3"/>
  <c r="J198" i="3"/>
  <c r="J411" i="3"/>
  <c r="J423" i="3"/>
  <c r="J210" i="3"/>
  <c r="J222" i="3"/>
  <c r="J234" i="3"/>
  <c r="J246" i="3"/>
  <c r="J258" i="3"/>
  <c r="J270" i="3"/>
  <c r="J282" i="3"/>
  <c r="J294" i="3"/>
  <c r="I306" i="3"/>
  <c r="J318" i="3"/>
  <c r="J330" i="3"/>
  <c r="I342" i="3"/>
  <c r="I354" i="3"/>
  <c r="I366" i="3"/>
  <c r="I378" i="3"/>
  <c r="I390" i="3"/>
  <c r="I426" i="3"/>
  <c r="I435" i="3"/>
  <c r="I436" i="3"/>
  <c r="J447" i="3"/>
  <c r="I448" i="3"/>
  <c r="I460" i="3"/>
  <c r="I472" i="3"/>
  <c r="I484" i="3"/>
  <c r="I496" i="3"/>
  <c r="J459" i="3"/>
  <c r="J471" i="3"/>
  <c r="J483" i="3"/>
  <c r="J495" i="3"/>
  <c r="J341" i="3"/>
  <c r="J353" i="3"/>
  <c r="J365" i="3"/>
  <c r="J377" i="3"/>
  <c r="J389" i="3"/>
  <c r="J401" i="3"/>
  <c r="J413" i="3"/>
  <c r="J425" i="3"/>
  <c r="J437" i="3"/>
  <c r="J449" i="3"/>
  <c r="J461" i="3"/>
  <c r="I473" i="3"/>
  <c r="I485" i="3"/>
  <c r="I497" i="3"/>
  <c r="I438" i="3"/>
  <c r="I355" i="3"/>
  <c r="I367" i="3"/>
  <c r="J379" i="3"/>
  <c r="I391" i="3"/>
  <c r="I403" i="3"/>
  <c r="I415" i="3"/>
  <c r="I427" i="3"/>
  <c r="I439" i="3"/>
  <c r="I451" i="3"/>
  <c r="I463" i="3"/>
  <c r="I475" i="3"/>
  <c r="I487" i="3"/>
  <c r="I499" i="3"/>
  <c r="J284" i="3"/>
  <c r="I402" i="3"/>
  <c r="I414" i="3"/>
  <c r="I450" i="3"/>
  <c r="I462" i="3"/>
  <c r="J45" i="3"/>
  <c r="I105" i="3"/>
  <c r="I69" i="3"/>
  <c r="I81" i="3"/>
  <c r="J9" i="3"/>
  <c r="J21" i="3"/>
  <c r="I33" i="3"/>
  <c r="J57" i="3"/>
  <c r="I93" i="3"/>
  <c r="I117" i="3"/>
  <c r="I2" i="3"/>
  <c r="I34" i="3"/>
  <c r="J94" i="3"/>
  <c r="J22" i="3"/>
  <c r="I70" i="3"/>
  <c r="J10" i="3"/>
  <c r="J82" i="3"/>
  <c r="J46" i="3"/>
  <c r="I58" i="3"/>
  <c r="I474" i="3"/>
  <c r="I486" i="3"/>
  <c r="I498" i="3"/>
  <c r="I296" i="3"/>
  <c r="I308" i="3"/>
  <c r="I320" i="3"/>
  <c r="I332" i="3"/>
  <c r="I344" i="3"/>
  <c r="I356" i="3"/>
  <c r="I368" i="3"/>
  <c r="I380" i="3"/>
  <c r="I392" i="3"/>
  <c r="I404" i="3"/>
  <c r="I416" i="3"/>
  <c r="I428" i="3"/>
  <c r="J177" i="3"/>
  <c r="I440" i="3"/>
  <c r="I452" i="3"/>
  <c r="I464" i="3"/>
  <c r="I476" i="3"/>
  <c r="J189" i="3"/>
  <c r="J201" i="3"/>
  <c r="J213" i="3"/>
  <c r="J225" i="3"/>
  <c r="J237" i="3"/>
  <c r="J249" i="3"/>
  <c r="J261" i="3"/>
  <c r="J273" i="3"/>
  <c r="J285" i="3"/>
  <c r="J297" i="3"/>
  <c r="J309" i="3"/>
  <c r="J333" i="3"/>
  <c r="J345" i="3"/>
  <c r="J357" i="3"/>
  <c r="J369" i="3"/>
  <c r="J381" i="3"/>
  <c r="J393" i="3"/>
  <c r="J405" i="3"/>
  <c r="J417" i="3"/>
  <c r="J429" i="3"/>
  <c r="J106" i="3"/>
  <c r="J118" i="3"/>
  <c r="J13" i="3"/>
  <c r="J25" i="3"/>
  <c r="J37" i="3"/>
  <c r="J49" i="3"/>
  <c r="J61" i="3"/>
  <c r="J73" i="3"/>
  <c r="J85" i="3"/>
  <c r="I97" i="3"/>
  <c r="J109" i="3"/>
  <c r="J121" i="3"/>
  <c r="J133" i="3"/>
  <c r="J145" i="3"/>
  <c r="J157" i="3"/>
  <c r="J169" i="3"/>
  <c r="J181" i="3"/>
  <c r="J193" i="3"/>
  <c r="J205" i="3"/>
  <c r="J217" i="3"/>
  <c r="J229" i="3"/>
  <c r="J241" i="3"/>
  <c r="J253" i="3"/>
  <c r="J265" i="3"/>
  <c r="I277" i="3"/>
  <c r="J289" i="3"/>
  <c r="J301" i="3"/>
  <c r="J313" i="3"/>
  <c r="J50" i="3"/>
  <c r="J158" i="3"/>
  <c r="J86" i="3"/>
  <c r="J122" i="3"/>
  <c r="J26" i="3"/>
  <c r="J74" i="3"/>
  <c r="J146" i="3"/>
  <c r="I488" i="3"/>
  <c r="I500" i="3"/>
  <c r="J98" i="3"/>
  <c r="J441" i="3"/>
  <c r="J453" i="3"/>
  <c r="J465" i="3"/>
  <c r="J477" i="3"/>
  <c r="J489" i="3"/>
  <c r="J14" i="3"/>
  <c r="J62" i="3"/>
  <c r="J154" i="3"/>
  <c r="J190" i="3"/>
  <c r="I226" i="3"/>
  <c r="I250" i="3"/>
  <c r="I322" i="3"/>
  <c r="I346" i="3"/>
  <c r="I382" i="3"/>
  <c r="I394" i="3"/>
  <c r="I430" i="3"/>
  <c r="I442" i="3"/>
  <c r="I454" i="3"/>
  <c r="I466" i="3"/>
  <c r="J478" i="3"/>
  <c r="J490" i="3"/>
  <c r="J110" i="3"/>
  <c r="J142" i="3"/>
  <c r="J178" i="3"/>
  <c r="I214" i="3"/>
  <c r="I262" i="3"/>
  <c r="I310" i="3"/>
  <c r="I358" i="3"/>
  <c r="I418" i="3"/>
  <c r="I38" i="3"/>
  <c r="J134" i="3"/>
  <c r="J130" i="3"/>
  <c r="I166" i="3"/>
  <c r="J202" i="3"/>
  <c r="I238" i="3"/>
  <c r="I286" i="3"/>
  <c r="I298" i="3"/>
  <c r="I334" i="3"/>
  <c r="I370" i="3"/>
  <c r="I406" i="3"/>
  <c r="J501" i="3"/>
  <c r="J35" i="3"/>
  <c r="J59" i="3"/>
  <c r="J83" i="3"/>
  <c r="I95" i="3"/>
  <c r="J119" i="3"/>
  <c r="I131" i="3"/>
  <c r="J143" i="3"/>
  <c r="J155" i="3"/>
  <c r="I179" i="3"/>
  <c r="I191" i="3"/>
  <c r="I203" i="3"/>
  <c r="J215" i="3"/>
  <c r="J227" i="3"/>
  <c r="J239" i="3"/>
  <c r="I251" i="3"/>
  <c r="J275" i="3"/>
  <c r="J287" i="3"/>
  <c r="J299" i="3"/>
  <c r="I311" i="3"/>
  <c r="J323" i="3"/>
  <c r="J335" i="3"/>
  <c r="J347" i="3"/>
  <c r="J359" i="3"/>
  <c r="J371" i="3"/>
  <c r="J383" i="3"/>
  <c r="J395" i="3"/>
  <c r="J407" i="3"/>
  <c r="J419" i="3"/>
  <c r="J431" i="3"/>
  <c r="J443" i="3"/>
  <c r="I455" i="3"/>
  <c r="J467" i="3"/>
  <c r="J479" i="3"/>
  <c r="I491" i="3"/>
  <c r="I11" i="3"/>
  <c r="J23" i="3"/>
  <c r="J47" i="3"/>
  <c r="J71" i="3"/>
  <c r="I107" i="3"/>
  <c r="J12" i="3"/>
  <c r="J24" i="3"/>
  <c r="J36" i="3"/>
  <c r="J48" i="3"/>
  <c r="J60" i="3"/>
  <c r="J72" i="3"/>
  <c r="J84" i="3"/>
  <c r="J96" i="3"/>
  <c r="J108" i="3"/>
  <c r="J120" i="3"/>
  <c r="J132" i="3"/>
  <c r="J144" i="3"/>
  <c r="J156" i="3"/>
  <c r="J168" i="3"/>
  <c r="J180" i="3"/>
  <c r="J192" i="3"/>
  <c r="J204" i="3"/>
  <c r="J216" i="3"/>
  <c r="J228" i="3"/>
  <c r="J240" i="3"/>
  <c r="J252" i="3"/>
  <c r="J264" i="3"/>
  <c r="J276" i="3"/>
  <c r="J288" i="3"/>
  <c r="J300" i="3"/>
  <c r="I312" i="3"/>
  <c r="J324" i="3"/>
  <c r="J336" i="3"/>
  <c r="J348" i="3"/>
  <c r="I360" i="3"/>
  <c r="J372" i="3"/>
  <c r="J384" i="3"/>
  <c r="I396" i="3"/>
  <c r="I408" i="3"/>
  <c r="J420" i="3"/>
  <c r="J432" i="3"/>
  <c r="I444" i="3"/>
  <c r="J456" i="3"/>
  <c r="J468" i="3"/>
  <c r="J480" i="3"/>
  <c r="J492" i="3"/>
  <c r="J325" i="3"/>
  <c r="J337" i="3"/>
  <c r="I349" i="3"/>
  <c r="J361" i="3"/>
  <c r="I373" i="3"/>
  <c r="J385" i="3"/>
  <c r="J397" i="3"/>
  <c r="J409" i="3"/>
  <c r="J421" i="3"/>
  <c r="J433" i="3"/>
  <c r="J445" i="3"/>
  <c r="I457" i="3"/>
  <c r="J469" i="3"/>
  <c r="J481" i="3"/>
  <c r="J493" i="3"/>
  <c r="J320" i="3"/>
  <c r="J207" i="3"/>
  <c r="K207" i="3" s="1"/>
  <c r="J373" i="3"/>
  <c r="I146" i="3"/>
  <c r="I156" i="3"/>
  <c r="J312" i="3"/>
  <c r="K312" i="3" s="1"/>
  <c r="J33" i="3"/>
  <c r="I445" i="3"/>
  <c r="I46" i="3"/>
  <c r="I172" i="3"/>
  <c r="I285" i="3"/>
  <c r="I361" i="3"/>
  <c r="J251" i="3"/>
  <c r="J111" i="3"/>
  <c r="J306" i="3"/>
  <c r="J414" i="3"/>
  <c r="K414" i="3" s="1"/>
  <c r="J97" i="3"/>
  <c r="I397" i="3"/>
  <c r="I15" i="3"/>
  <c r="K15" i="3" s="1"/>
  <c r="I201" i="3"/>
  <c r="I300" i="3"/>
  <c r="I168" i="3"/>
  <c r="J116" i="3"/>
  <c r="K116" i="3" s="1"/>
  <c r="I324" i="3"/>
  <c r="J394" i="3"/>
  <c r="I227" i="3"/>
  <c r="J262" i="3"/>
  <c r="I372" i="3"/>
  <c r="J125" i="3"/>
  <c r="K125" i="3" s="1"/>
  <c r="I224" i="3"/>
  <c r="K224" i="3" s="1"/>
  <c r="J332" i="3"/>
  <c r="J360" i="3"/>
  <c r="J474" i="3"/>
  <c r="J491" i="3"/>
  <c r="I143" i="3"/>
  <c r="I192" i="3"/>
  <c r="I219" i="3"/>
  <c r="K219" i="3" s="1"/>
  <c r="I247" i="3"/>
  <c r="K247" i="3" s="1"/>
  <c r="I280" i="3"/>
  <c r="K280" i="3" s="1"/>
  <c r="I371" i="3"/>
  <c r="J380" i="3"/>
  <c r="I9" i="3"/>
  <c r="I14" i="3"/>
  <c r="J93" i="3"/>
  <c r="I66" i="3"/>
  <c r="J149" i="3"/>
  <c r="K149" i="3" s="1"/>
  <c r="J199" i="3"/>
  <c r="K199" i="3" s="1"/>
  <c r="I231" i="3"/>
  <c r="K231" i="3" s="1"/>
  <c r="I276" i="3"/>
  <c r="I297" i="3"/>
  <c r="I318" i="3"/>
  <c r="I351" i="3"/>
  <c r="K351" i="3" s="1"/>
  <c r="I409" i="3"/>
  <c r="J448" i="3"/>
  <c r="I432" i="3"/>
  <c r="J476" i="3"/>
  <c r="I493" i="3"/>
  <c r="J161" i="3"/>
  <c r="K161" i="3" s="1"/>
  <c r="I282" i="3"/>
  <c r="K282" i="3" s="1"/>
  <c r="I287" i="3"/>
  <c r="J438" i="3"/>
  <c r="I62" i="3"/>
  <c r="J67" i="3"/>
  <c r="K67" i="3" s="1"/>
  <c r="I84" i="3"/>
  <c r="I347" i="3"/>
  <c r="I405" i="3"/>
  <c r="J455" i="3"/>
  <c r="J466" i="3"/>
  <c r="J34" i="3"/>
  <c r="J101" i="3"/>
  <c r="K101" i="3" s="1"/>
  <c r="I178" i="3"/>
  <c r="J211" i="3"/>
  <c r="K211" i="3" s="1"/>
  <c r="I304" i="3"/>
  <c r="J378" i="3"/>
  <c r="I24" i="3"/>
  <c r="J58" i="3"/>
  <c r="I80" i="3"/>
  <c r="J256" i="3"/>
  <c r="K256" i="3" s="1"/>
  <c r="I364" i="3"/>
  <c r="I429" i="3"/>
  <c r="J462" i="3"/>
  <c r="I54" i="3"/>
  <c r="J77" i="3"/>
  <c r="K77" i="3" s="1"/>
  <c r="I98" i="3"/>
  <c r="I132" i="3"/>
  <c r="I158" i="3"/>
  <c r="I193" i="3"/>
  <c r="I198" i="3"/>
  <c r="K198" i="3" s="1"/>
  <c r="J322" i="3"/>
  <c r="I348" i="3"/>
  <c r="J367" i="3"/>
  <c r="I443" i="3"/>
  <c r="I59" i="3"/>
  <c r="I63" i="3"/>
  <c r="K63" i="3" s="1"/>
  <c r="I118" i="3"/>
  <c r="I190" i="3"/>
  <c r="J203" i="3"/>
  <c r="I10" i="3"/>
  <c r="I73" i="3"/>
  <c r="J114" i="3"/>
  <c r="I185" i="3"/>
  <c r="K185" i="3" s="1"/>
  <c r="I217" i="3"/>
  <c r="I243" i="3"/>
  <c r="K243" i="3" s="1"/>
  <c r="I268" i="3"/>
  <c r="J344" i="3"/>
  <c r="K344" i="3" s="1"/>
  <c r="J439" i="3"/>
  <c r="J463" i="3"/>
  <c r="I478" i="3"/>
  <c r="I47" i="3"/>
  <c r="I52" i="3"/>
  <c r="I60" i="3"/>
  <c r="I134" i="3"/>
  <c r="J195" i="3"/>
  <c r="K195" i="3" s="1"/>
  <c r="I213" i="3"/>
  <c r="I359" i="3"/>
  <c r="J368" i="3"/>
  <c r="J382" i="3"/>
  <c r="J416" i="3"/>
  <c r="I421" i="3"/>
  <c r="J435" i="3"/>
  <c r="K435" i="3" s="1"/>
  <c r="I459" i="3"/>
  <c r="I106" i="3"/>
  <c r="I119" i="3"/>
  <c r="J166" i="3"/>
  <c r="I176" i="3"/>
  <c r="K176" i="3" s="1"/>
  <c r="I204" i="3"/>
  <c r="I233" i="3"/>
  <c r="K233" i="3" s="1"/>
  <c r="J259" i="3"/>
  <c r="K259" i="3" s="1"/>
  <c r="I264" i="3"/>
  <c r="I299" i="3"/>
  <c r="J349" i="3"/>
  <c r="J387" i="3"/>
  <c r="K387" i="3" s="1"/>
  <c r="I407" i="3"/>
  <c r="I431" i="3"/>
  <c r="J444" i="3"/>
  <c r="J464" i="3"/>
  <c r="I483" i="3"/>
  <c r="I479" i="3"/>
  <c r="I48" i="3"/>
  <c r="J70" i="3"/>
  <c r="I255" i="3"/>
  <c r="K255" i="3" s="1"/>
  <c r="I270" i="3"/>
  <c r="K270" i="3" s="1"/>
  <c r="I295" i="3"/>
  <c r="K295" i="3" s="1"/>
  <c r="J346" i="3"/>
  <c r="J403" i="3"/>
  <c r="J427" i="3"/>
  <c r="I441" i="3"/>
  <c r="I13" i="3"/>
  <c r="J29" i="3"/>
  <c r="K29" i="3" s="1"/>
  <c r="I39" i="3"/>
  <c r="K39" i="3" s="1"/>
  <c r="J107" i="3"/>
  <c r="I120" i="3"/>
  <c r="I142" i="3"/>
  <c r="J183" i="3"/>
  <c r="K183" i="3" s="1"/>
  <c r="I215" i="3"/>
  <c r="I291" i="3"/>
  <c r="K291" i="3" s="1"/>
  <c r="J342" i="3"/>
  <c r="I384" i="3"/>
  <c r="I399" i="3"/>
  <c r="J408" i="3"/>
  <c r="J418" i="3"/>
  <c r="I456" i="3"/>
  <c r="I316" i="3"/>
  <c r="I423" i="3"/>
  <c r="J442" i="3"/>
  <c r="I480" i="3"/>
  <c r="I221" i="3"/>
  <c r="K221" i="3" s="1"/>
  <c r="I241" i="3"/>
  <c r="I309" i="3"/>
  <c r="I337" i="3"/>
  <c r="J355" i="3"/>
  <c r="J488" i="3"/>
  <c r="I18" i="3"/>
  <c r="I22" i="3"/>
  <c r="I82" i="3"/>
  <c r="I94" i="3"/>
  <c r="I122" i="3"/>
  <c r="J131" i="3"/>
  <c r="I144" i="3"/>
  <c r="I175" i="3"/>
  <c r="K175" i="3" s="1"/>
  <c r="I210" i="3"/>
  <c r="I267" i="3"/>
  <c r="I275" i="3"/>
  <c r="I279" i="3"/>
  <c r="J286" i="3"/>
  <c r="I294" i="3"/>
  <c r="I301" i="3"/>
  <c r="I313" i="3"/>
  <c r="I345" i="3"/>
  <c r="J396" i="3"/>
  <c r="J440" i="3"/>
  <c r="J457" i="3"/>
  <c r="I465" i="3"/>
  <c r="I468" i="3"/>
  <c r="I471" i="3"/>
  <c r="I481" i="3"/>
  <c r="I229" i="3"/>
  <c r="I249" i="3"/>
  <c r="I253" i="3"/>
  <c r="J366" i="3"/>
  <c r="J370" i="3"/>
  <c r="J392" i="3"/>
  <c r="J450" i="3"/>
  <c r="J454" i="3"/>
  <c r="J498" i="3"/>
  <c r="J11" i="3"/>
  <c r="I74" i="3"/>
  <c r="I86" i="3"/>
  <c r="J90" i="3"/>
  <c r="I136" i="3"/>
  <c r="I154" i="3"/>
  <c r="J179" i="3"/>
  <c r="J187" i="3"/>
  <c r="K187" i="3" s="1"/>
  <c r="J191" i="3"/>
  <c r="J226" i="3"/>
  <c r="I234" i="3"/>
  <c r="J238" i="3"/>
  <c r="I271" i="3"/>
  <c r="K271" i="3" s="1"/>
  <c r="I283" i="3"/>
  <c r="K283" i="3" s="1"/>
  <c r="J298" i="3"/>
  <c r="I325" i="3"/>
  <c r="I363" i="3"/>
  <c r="K363" i="3" s="1"/>
  <c r="I385" i="3"/>
  <c r="J404" i="3"/>
  <c r="I411" i="3"/>
  <c r="J415" i="3"/>
  <c r="I419" i="3"/>
  <c r="J426" i="3"/>
  <c r="J430" i="3"/>
  <c r="I433" i="3"/>
  <c r="J436" i="3"/>
  <c r="I447" i="3"/>
  <c r="J475" i="3"/>
  <c r="I492" i="3"/>
  <c r="I495" i="3"/>
  <c r="J310" i="3"/>
  <c r="J334" i="3"/>
  <c r="J352" i="3"/>
  <c r="J356" i="3"/>
  <c r="J451" i="3"/>
  <c r="J485" i="3"/>
  <c r="I489" i="3"/>
  <c r="J499" i="3"/>
  <c r="I110" i="3"/>
  <c r="I148" i="3"/>
  <c r="I202" i="3"/>
  <c r="J8" i="3"/>
  <c r="I171" i="3"/>
  <c r="I83" i="3"/>
  <c r="I87" i="3"/>
  <c r="K87" i="3" s="1"/>
  <c r="J91" i="3"/>
  <c r="K91" i="3" s="1"/>
  <c r="J137" i="3"/>
  <c r="K137" i="3" s="1"/>
  <c r="I6" i="3"/>
  <c r="K6" i="3" s="1"/>
  <c r="I19" i="3"/>
  <c r="K19" i="3" s="1"/>
  <c r="I23" i="3"/>
  <c r="I104" i="3"/>
  <c r="K104" i="3" s="1"/>
  <c r="I16" i="3"/>
  <c r="I28" i="3"/>
  <c r="I51" i="3"/>
  <c r="K51" i="3" s="1"/>
  <c r="I108" i="3"/>
  <c r="I124" i="3"/>
  <c r="I155" i="3"/>
  <c r="I180" i="3"/>
  <c r="I184" i="3"/>
  <c r="I200" i="3"/>
  <c r="K200" i="3" s="1"/>
  <c r="I216" i="3"/>
  <c r="J223" i="3"/>
  <c r="K223" i="3" s="1"/>
  <c r="J235" i="3"/>
  <c r="K235" i="3" s="1"/>
  <c r="I272" i="3"/>
  <c r="I284" i="3"/>
  <c r="J311" i="3"/>
  <c r="I375" i="3"/>
  <c r="K375" i="3" s="1"/>
  <c r="I379" i="3"/>
  <c r="I383" i="3"/>
  <c r="J390" i="3"/>
  <c r="I420" i="3"/>
  <c r="J452" i="3"/>
  <c r="I469" i="3"/>
  <c r="J486" i="3"/>
  <c r="K486" i="3" s="1"/>
  <c r="I490" i="3"/>
  <c r="J500" i="3"/>
  <c r="I303" i="3"/>
  <c r="J307" i="3"/>
  <c r="K307" i="3" s="1"/>
  <c r="I315" i="3"/>
  <c r="I319" i="3"/>
  <c r="K319" i="3" s="1"/>
  <c r="I323" i="3"/>
  <c r="J331" i="3"/>
  <c r="K331" i="3" s="1"/>
  <c r="I339" i="3"/>
  <c r="K339" i="3" s="1"/>
  <c r="J343" i="3"/>
  <c r="K343" i="3" s="1"/>
  <c r="J38" i="3"/>
  <c r="K38" i="3" s="1"/>
  <c r="J55" i="3"/>
  <c r="K55" i="3" s="1"/>
  <c r="I72" i="3"/>
  <c r="I76" i="3"/>
  <c r="I88" i="3"/>
  <c r="K88" i="3" s="1"/>
  <c r="I96" i="3"/>
  <c r="J105" i="3"/>
  <c r="K105" i="3" s="1"/>
  <c r="J117" i="3"/>
  <c r="I130" i="3"/>
  <c r="I160" i="3"/>
  <c r="I174" i="3"/>
  <c r="K174" i="3" s="1"/>
  <c r="I177" i="3"/>
  <c r="I197" i="3"/>
  <c r="K197" i="3" s="1"/>
  <c r="I208" i="3"/>
  <c r="I220" i="3"/>
  <c r="I228" i="3"/>
  <c r="I240" i="3"/>
  <c r="I248" i="3"/>
  <c r="K248" i="3" s="1"/>
  <c r="I252" i="3"/>
  <c r="I269" i="3"/>
  <c r="K269" i="3" s="1"/>
  <c r="J277" i="3"/>
  <c r="I281" i="3"/>
  <c r="K281" i="3" s="1"/>
  <c r="I288" i="3"/>
  <c r="I292" i="3"/>
  <c r="I327" i="3"/>
  <c r="K327" i="3" s="1"/>
  <c r="I336" i="3"/>
  <c r="J354" i="3"/>
  <c r="J358" i="3"/>
  <c r="I395" i="3"/>
  <c r="J402" i="3"/>
  <c r="J406" i="3"/>
  <c r="I417" i="3"/>
  <c r="J428" i="3"/>
  <c r="I467" i="3"/>
  <c r="J473" i="3"/>
  <c r="I477" i="3"/>
  <c r="J391" i="3"/>
  <c r="I453" i="3"/>
  <c r="J487" i="3"/>
  <c r="J497" i="3"/>
  <c r="I501" i="3"/>
  <c r="I4" i="3"/>
  <c r="I61" i="3"/>
  <c r="J141" i="3"/>
  <c r="I141" i="3"/>
  <c r="J165" i="3"/>
  <c r="I165" i="3"/>
  <c r="J314" i="3"/>
  <c r="I314" i="3"/>
  <c r="I32" i="3"/>
  <c r="I37" i="3"/>
  <c r="I42" i="3"/>
  <c r="J69" i="3"/>
  <c r="I169" i="3"/>
  <c r="I330" i="3"/>
  <c r="I376" i="3"/>
  <c r="J2" i="3"/>
  <c r="J7" i="3"/>
  <c r="K7" i="3" s="1"/>
  <c r="I20" i="3"/>
  <c r="I25" i="3"/>
  <c r="I30" i="3"/>
  <c r="I35" i="3"/>
  <c r="I40" i="3"/>
  <c r="J56" i="3"/>
  <c r="I64" i="3"/>
  <c r="J78" i="3"/>
  <c r="J81" i="3"/>
  <c r="J95" i="3"/>
  <c r="I112" i="3"/>
  <c r="J115" i="3"/>
  <c r="K115" i="3" s="1"/>
  <c r="J135" i="3"/>
  <c r="J159" i="3"/>
  <c r="K159" i="3" s="1"/>
  <c r="J170" i="3"/>
  <c r="I170" i="3"/>
  <c r="J188" i="3"/>
  <c r="I188" i="3"/>
  <c r="J206" i="3"/>
  <c r="I206" i="3"/>
  <c r="I246" i="3"/>
  <c r="K246" i="3" s="1"/>
  <c r="J434" i="3"/>
  <c r="I434" i="3"/>
  <c r="J472" i="3"/>
  <c r="I237" i="3"/>
  <c r="I75" i="3"/>
  <c r="K75" i="3" s="1"/>
  <c r="J89" i="3"/>
  <c r="K89" i="3" s="1"/>
  <c r="I92" i="3"/>
  <c r="J308" i="3"/>
  <c r="J27" i="3"/>
  <c r="I121" i="3"/>
  <c r="J128" i="3"/>
  <c r="I209" i="3"/>
  <c r="K209" i="3" s="1"/>
  <c r="J129" i="3"/>
  <c r="I129" i="3"/>
  <c r="J153" i="3"/>
  <c r="I153" i="3"/>
  <c r="J167" i="3"/>
  <c r="I167" i="3"/>
  <c r="J260" i="3"/>
  <c r="I260" i="3"/>
  <c r="J482" i="3"/>
  <c r="I482" i="3"/>
  <c r="I212" i="3"/>
  <c r="K212" i="3" s="1"/>
  <c r="I333" i="3"/>
  <c r="I145" i="3"/>
  <c r="K145" i="3" s="1"/>
  <c r="J152" i="3"/>
  <c r="K152" i="3" s="1"/>
  <c r="I274" i="3"/>
  <c r="J274" i="3"/>
  <c r="J5" i="3"/>
  <c r="K5" i="3" s="1"/>
  <c r="J43" i="3"/>
  <c r="K43" i="3" s="1"/>
  <c r="J196" i="3"/>
  <c r="I196" i="3"/>
  <c r="J302" i="3"/>
  <c r="I302" i="3"/>
  <c r="J173" i="3"/>
  <c r="I173" i="3"/>
  <c r="J263" i="3"/>
  <c r="I263" i="3"/>
  <c r="I45" i="3"/>
  <c r="J424" i="3"/>
  <c r="K424" i="3" s="1"/>
  <c r="J65" i="3"/>
  <c r="K65" i="3" s="1"/>
  <c r="I68" i="3"/>
  <c r="K68" i="3" s="1"/>
  <c r="J79" i="3"/>
  <c r="K79" i="3" s="1"/>
  <c r="I85" i="3"/>
  <c r="I99" i="3"/>
  <c r="K99" i="3" s="1"/>
  <c r="J113" i="3"/>
  <c r="K113" i="3" s="1"/>
  <c r="J126" i="3"/>
  <c r="I126" i="3"/>
  <c r="I140" i="3"/>
  <c r="K140" i="3" s="1"/>
  <c r="J150" i="3"/>
  <c r="I150" i="3"/>
  <c r="I164" i="3"/>
  <c r="K164" i="3" s="1"/>
  <c r="J232" i="3"/>
  <c r="I232" i="3"/>
  <c r="I265" i="3"/>
  <c r="J293" i="3"/>
  <c r="I293" i="3"/>
  <c r="J296" i="3"/>
  <c r="I357" i="3"/>
  <c r="J410" i="3"/>
  <c r="I410" i="3"/>
  <c r="I50" i="3"/>
  <c r="I100" i="3"/>
  <c r="I273" i="3"/>
  <c r="J340" i="3"/>
  <c r="I340" i="3"/>
  <c r="J103" i="3"/>
  <c r="K103" i="3" s="1"/>
  <c r="I109" i="3"/>
  <c r="J138" i="3"/>
  <c r="I138" i="3"/>
  <c r="J162" i="3"/>
  <c r="I162" i="3"/>
  <c r="I12" i="3"/>
  <c r="J17" i="3"/>
  <c r="K17" i="3" s="1"/>
  <c r="J53" i="3"/>
  <c r="K53" i="3" s="1"/>
  <c r="I49" i="3"/>
  <c r="I57" i="3"/>
  <c r="J3" i="3"/>
  <c r="I21" i="3"/>
  <c r="I26" i="3"/>
  <c r="I31" i="3"/>
  <c r="K31" i="3" s="1"/>
  <c r="I36" i="3"/>
  <c r="J41" i="3"/>
  <c r="K41" i="3" s="1"/>
  <c r="I44" i="3"/>
  <c r="I71" i="3"/>
  <c r="I102" i="3"/>
  <c r="K102" i="3" s="1"/>
  <c r="I123" i="3"/>
  <c r="I133" i="3"/>
  <c r="I147" i="3"/>
  <c r="I157" i="3"/>
  <c r="J182" i="3"/>
  <c r="I182" i="3"/>
  <c r="I257" i="3"/>
  <c r="K257" i="3" s="1"/>
  <c r="J350" i="3"/>
  <c r="I350" i="3"/>
  <c r="J386" i="3"/>
  <c r="I386" i="3"/>
  <c r="J254" i="3"/>
  <c r="I254" i="3"/>
  <c r="J290" i="3"/>
  <c r="I290" i="3"/>
  <c r="J321" i="3"/>
  <c r="I321" i="3"/>
  <c r="I393" i="3"/>
  <c r="J218" i="3"/>
  <c r="I218" i="3"/>
  <c r="J266" i="3"/>
  <c r="I266" i="3"/>
  <c r="J400" i="3"/>
  <c r="J446" i="3"/>
  <c r="I446" i="3"/>
  <c r="J374" i="3"/>
  <c r="I374" i="3"/>
  <c r="J470" i="3"/>
  <c r="I470" i="3"/>
  <c r="I186" i="3"/>
  <c r="K186" i="3" s="1"/>
  <c r="J194" i="3"/>
  <c r="I194" i="3"/>
  <c r="J230" i="3"/>
  <c r="I230" i="3"/>
  <c r="I244" i="3"/>
  <c r="I258" i="3"/>
  <c r="I328" i="3"/>
  <c r="I335" i="3"/>
  <c r="K335" i="3" s="1"/>
  <c r="I381" i="3"/>
  <c r="J422" i="3"/>
  <c r="I422" i="3"/>
  <c r="J460" i="3"/>
  <c r="J496" i="3"/>
  <c r="K496" i="3" s="1"/>
  <c r="J338" i="3"/>
  <c r="I338" i="3"/>
  <c r="I127" i="3"/>
  <c r="K127" i="3" s="1"/>
  <c r="I139" i="3"/>
  <c r="K139" i="3" s="1"/>
  <c r="I151" i="3"/>
  <c r="K151" i="3" s="1"/>
  <c r="I163" i="3"/>
  <c r="K163" i="3" s="1"/>
  <c r="I181" i="3"/>
  <c r="K181" i="3" s="1"/>
  <c r="I189" i="3"/>
  <c r="I205" i="3"/>
  <c r="I222" i="3"/>
  <c r="I236" i="3"/>
  <c r="K236" i="3" s="1"/>
  <c r="I239" i="3"/>
  <c r="J250" i="3"/>
  <c r="I261" i="3"/>
  <c r="J278" i="3"/>
  <c r="I278" i="3"/>
  <c r="I289" i="3"/>
  <c r="J398" i="3"/>
  <c r="I398" i="3"/>
  <c r="J242" i="3"/>
  <c r="I242" i="3"/>
  <c r="J362" i="3"/>
  <c r="I362" i="3"/>
  <c r="I388" i="3"/>
  <c r="K388" i="3" s="1"/>
  <c r="J412" i="3"/>
  <c r="K412" i="3" s="1"/>
  <c r="J214" i="3"/>
  <c r="I225" i="3"/>
  <c r="I245" i="3"/>
  <c r="K245" i="3" s="1"/>
  <c r="J326" i="3"/>
  <c r="I326" i="3"/>
  <c r="I369" i="3"/>
  <c r="J458" i="3"/>
  <c r="I458" i="3"/>
  <c r="J484" i="3"/>
  <c r="J494" i="3"/>
  <c r="I494" i="3"/>
  <c r="I305" i="3"/>
  <c r="K305" i="3" s="1"/>
  <c r="I317" i="3"/>
  <c r="I329" i="3"/>
  <c r="K329" i="3" s="1"/>
  <c r="I341" i="3"/>
  <c r="I353" i="3"/>
  <c r="I365" i="3"/>
  <c r="I377" i="3"/>
  <c r="I389" i="3"/>
  <c r="I401" i="3"/>
  <c r="I413" i="3"/>
  <c r="I425" i="3"/>
  <c r="I437" i="3"/>
  <c r="I449" i="3"/>
  <c r="I461" i="3"/>
  <c r="K317" i="3" l="1"/>
  <c r="K376" i="3"/>
  <c r="K341" i="3"/>
  <c r="K3" i="3"/>
  <c r="K52" i="3"/>
  <c r="K56" i="3"/>
  <c r="K80" i="3"/>
  <c r="K208" i="3"/>
  <c r="K147" i="3"/>
  <c r="K353" i="3"/>
  <c r="K50" i="3"/>
  <c r="K315" i="3"/>
  <c r="K171" i="3"/>
  <c r="K128" i="3"/>
  <c r="K64" i="3"/>
  <c r="K303" i="3"/>
  <c r="K27" i="3"/>
  <c r="K220" i="3"/>
  <c r="K114" i="3"/>
  <c r="K92" i="3"/>
  <c r="K436" i="3"/>
  <c r="K78" i="3"/>
  <c r="K311" i="3"/>
  <c r="K8" i="3"/>
  <c r="K332" i="3"/>
  <c r="K445" i="3"/>
  <c r="K28" i="3"/>
  <c r="K22" i="3"/>
  <c r="K286" i="3"/>
  <c r="K483" i="3"/>
  <c r="K322" i="3"/>
  <c r="K461" i="3"/>
  <c r="K267" i="3"/>
  <c r="K309" i="3"/>
  <c r="K20" i="3"/>
  <c r="K98" i="3"/>
  <c r="K123" i="3"/>
  <c r="K390" i="3"/>
  <c r="K352" i="3"/>
  <c r="K439" i="3"/>
  <c r="K172" i="3"/>
  <c r="K399" i="3"/>
  <c r="K111" i="3"/>
  <c r="K44" i="3"/>
  <c r="K364" i="3"/>
  <c r="K90" i="3"/>
  <c r="K40" i="3"/>
  <c r="K279" i="3"/>
  <c r="K32" i="3"/>
  <c r="K157" i="3"/>
  <c r="K135" i="3"/>
  <c r="K184" i="3"/>
  <c r="K426" i="3"/>
  <c r="K258" i="3"/>
  <c r="K272" i="3"/>
  <c r="K16" i="3"/>
  <c r="K148" i="3"/>
  <c r="K471" i="3"/>
  <c r="K222" i="3"/>
  <c r="K427" i="3"/>
  <c r="K378" i="3"/>
  <c r="K4" i="3"/>
  <c r="K452" i="3"/>
  <c r="K320" i="3"/>
  <c r="K234" i="3"/>
  <c r="K437" i="3"/>
  <c r="K160" i="3"/>
  <c r="K118" i="3"/>
  <c r="K45" i="3"/>
  <c r="K328" i="3"/>
  <c r="K66" i="3"/>
  <c r="K449" i="3"/>
  <c r="K366" i="3"/>
  <c r="K94" i="3"/>
  <c r="K244" i="3"/>
  <c r="K100" i="3"/>
  <c r="K400" i="3"/>
  <c r="K268" i="3"/>
  <c r="K76" i="3"/>
  <c r="K30" i="3"/>
  <c r="K292" i="3"/>
  <c r="K459" i="3"/>
  <c r="K415" i="3"/>
  <c r="K54" i="3"/>
  <c r="K124" i="3"/>
  <c r="K462" i="3"/>
  <c r="K423" i="3"/>
  <c r="K316" i="3"/>
  <c r="K18" i="3"/>
  <c r="K42" i="3"/>
  <c r="K210" i="3"/>
  <c r="K304" i="3"/>
  <c r="K112" i="3"/>
  <c r="K411" i="3"/>
  <c r="K354" i="3"/>
  <c r="K425" i="3"/>
  <c r="K136" i="3"/>
  <c r="K389" i="3"/>
  <c r="K367" i="3"/>
  <c r="K284" i="3"/>
  <c r="K57" i="3"/>
  <c r="K460" i="3"/>
  <c r="K318" i="3"/>
  <c r="K365" i="3"/>
  <c r="K377" i="3"/>
  <c r="K294" i="3"/>
  <c r="K448" i="3"/>
  <c r="K447" i="3"/>
  <c r="K499" i="3"/>
  <c r="K355" i="3"/>
  <c r="K306" i="3"/>
  <c r="K401" i="3"/>
  <c r="K484" i="3"/>
  <c r="K342" i="3"/>
  <c r="K413" i="3"/>
  <c r="K472" i="3"/>
  <c r="K330" i="3"/>
  <c r="K333" i="3"/>
  <c r="K70" i="3"/>
  <c r="K476" i="3"/>
  <c r="K214" i="3"/>
  <c r="K495" i="3"/>
  <c r="K301" i="3"/>
  <c r="K69" i="3"/>
  <c r="K473" i="3"/>
  <c r="K451" i="3"/>
  <c r="K346" i="3"/>
  <c r="K201" i="3"/>
  <c r="K467" i="3"/>
  <c r="K323" i="3"/>
  <c r="K155" i="3"/>
  <c r="K497" i="3"/>
  <c r="K475" i="3"/>
  <c r="K465" i="3"/>
  <c r="K394" i="3"/>
  <c r="K356" i="3"/>
  <c r="K463" i="3"/>
  <c r="K81" i="3"/>
  <c r="K334" i="3"/>
  <c r="K345" i="3"/>
  <c r="K382" i="3"/>
  <c r="K179" i="3"/>
  <c r="K313" i="3"/>
  <c r="K169" i="3"/>
  <c r="K453" i="3"/>
  <c r="K189" i="3"/>
  <c r="K25" i="3"/>
  <c r="K10" i="3"/>
  <c r="K369" i="3"/>
  <c r="K49" i="3"/>
  <c r="K485" i="3"/>
  <c r="K46" i="3"/>
  <c r="K213" i="3"/>
  <c r="K380" i="3"/>
  <c r="K21" i="3"/>
  <c r="K487" i="3"/>
  <c r="K438" i="3"/>
  <c r="K192" i="3"/>
  <c r="K178" i="3"/>
  <c r="K143" i="3"/>
  <c r="K480" i="3"/>
  <c r="K48" i="3"/>
  <c r="K379" i="3"/>
  <c r="K402" i="3"/>
  <c r="K455" i="3"/>
  <c r="K391" i="3"/>
  <c r="K403" i="3"/>
  <c r="K450" i="3"/>
  <c r="K325" i="3"/>
  <c r="K298" i="3"/>
  <c r="K13" i="3"/>
  <c r="K464" i="3"/>
  <c r="K336" i="3"/>
  <c r="K441" i="3"/>
  <c r="K60" i="3"/>
  <c r="K193" i="3"/>
  <c r="K158" i="3"/>
  <c r="K297" i="3"/>
  <c r="K368" i="3"/>
  <c r="K82" i="3"/>
  <c r="K357" i="3"/>
  <c r="K9" i="3"/>
  <c r="K37" i="3"/>
  <c r="K33" i="3"/>
  <c r="K58" i="3"/>
  <c r="K474" i="3"/>
  <c r="K308" i="3"/>
  <c r="K106" i="3"/>
  <c r="K440" i="3"/>
  <c r="K285" i="3"/>
  <c r="K34" i="3"/>
  <c r="K117" i="3"/>
  <c r="K93" i="3"/>
  <c r="K498" i="3"/>
  <c r="K177" i="3"/>
  <c r="K296" i="3"/>
  <c r="K204" i="3"/>
  <c r="K479" i="3"/>
  <c r="K72" i="3"/>
  <c r="K262" i="3"/>
  <c r="K205" i="3"/>
  <c r="K469" i="3"/>
  <c r="K216" i="3"/>
  <c r="K381" i="3"/>
  <c r="K237" i="3"/>
  <c r="K392" i="3"/>
  <c r="K491" i="3"/>
  <c r="K225" i="3"/>
  <c r="K370" i="3"/>
  <c r="K61" i="3"/>
  <c r="K406" i="3"/>
  <c r="K310" i="3"/>
  <c r="K404" i="3"/>
  <c r="K347" i="3"/>
  <c r="K86" i="3"/>
  <c r="K371" i="3"/>
  <c r="K420" i="3"/>
  <c r="K428" i="3"/>
  <c r="K416" i="3"/>
  <c r="K71" i="3"/>
  <c r="K227" i="3"/>
  <c r="K239" i="3"/>
  <c r="K85" i="3"/>
  <c r="K35" i="3"/>
  <c r="K408" i="3"/>
  <c r="K134" i="3"/>
  <c r="K215" i="3"/>
  <c r="K396" i="3"/>
  <c r="K442" i="3"/>
  <c r="K252" i="3"/>
  <c r="K108" i="3"/>
  <c r="K501" i="3"/>
  <c r="K217" i="3"/>
  <c r="K393" i="3"/>
  <c r="K418" i="3"/>
  <c r="K23" i="3"/>
  <c r="K73" i="3"/>
  <c r="K489" i="3"/>
  <c r="K47" i="3"/>
  <c r="K288" i="3"/>
  <c r="K454" i="3"/>
  <c r="K383" i="3"/>
  <c r="K122" i="3"/>
  <c r="K264" i="3"/>
  <c r="K120" i="3"/>
  <c r="K14" i="3"/>
  <c r="K249" i="3"/>
  <c r="K405" i="3"/>
  <c r="K229" i="3"/>
  <c r="K74" i="3"/>
  <c r="K373" i="3"/>
  <c r="K276" i="3"/>
  <c r="K97" i="3"/>
  <c r="K130" i="3"/>
  <c r="K62" i="3"/>
  <c r="K417" i="3"/>
  <c r="K241" i="3"/>
  <c r="K407" i="3"/>
  <c r="K132" i="3"/>
  <c r="K251" i="3"/>
  <c r="K83" i="3"/>
  <c r="K144" i="3"/>
  <c r="K478" i="3"/>
  <c r="K109" i="3"/>
  <c r="K59" i="3"/>
  <c r="K26" i="3"/>
  <c r="K385" i="3"/>
  <c r="K154" i="3"/>
  <c r="K253" i="3"/>
  <c r="K107" i="3"/>
  <c r="K429" i="3"/>
  <c r="K466" i="3"/>
  <c r="K395" i="3"/>
  <c r="K273" i="3"/>
  <c r="K261" i="3"/>
  <c r="K156" i="3"/>
  <c r="K275" i="3"/>
  <c r="K166" i="3"/>
  <c r="K488" i="3"/>
  <c r="K360" i="3"/>
  <c r="K121" i="3"/>
  <c r="K444" i="3"/>
  <c r="K119" i="3"/>
  <c r="K146" i="3"/>
  <c r="K431" i="3"/>
  <c r="K24" i="3"/>
  <c r="K265" i="3"/>
  <c r="K419" i="3"/>
  <c r="K226" i="3"/>
  <c r="K190" i="3"/>
  <c r="K421" i="3"/>
  <c r="K287" i="3"/>
  <c r="K133" i="3"/>
  <c r="K277" i="3"/>
  <c r="K409" i="3"/>
  <c r="K490" i="3"/>
  <c r="K202" i="3"/>
  <c r="K12" i="3"/>
  <c r="K456" i="3"/>
  <c r="K95" i="3"/>
  <c r="K110" i="3"/>
  <c r="K180" i="3"/>
  <c r="K433" i="3"/>
  <c r="K238" i="3"/>
  <c r="K468" i="3"/>
  <c r="K289" i="3"/>
  <c r="K131" i="3"/>
  <c r="K361" i="3"/>
  <c r="K250" i="3"/>
  <c r="K500" i="3"/>
  <c r="K142" i="3"/>
  <c r="K299" i="3"/>
  <c r="K443" i="3"/>
  <c r="K300" i="3"/>
  <c r="K36" i="3"/>
  <c r="K359" i="3"/>
  <c r="K493" i="3"/>
  <c r="K348" i="3"/>
  <c r="K432" i="3"/>
  <c r="K397" i="3"/>
  <c r="K430" i="3"/>
  <c r="K11" i="3"/>
  <c r="K384" i="3"/>
  <c r="K240" i="3"/>
  <c r="K96" i="3"/>
  <c r="K457" i="3"/>
  <c r="K203" i="3"/>
  <c r="K358" i="3"/>
  <c r="K349" i="3"/>
  <c r="K477" i="3"/>
  <c r="K492" i="3"/>
  <c r="K168" i="3"/>
  <c r="K481" i="3"/>
  <c r="K337" i="3"/>
  <c r="K84" i="3"/>
  <c r="K372" i="3"/>
  <c r="K228" i="3"/>
  <c r="K191" i="3"/>
  <c r="K324" i="3"/>
  <c r="K2" i="3"/>
  <c r="C9" i="2"/>
  <c r="K138" i="3"/>
  <c r="K141" i="3"/>
  <c r="K260" i="3"/>
  <c r="K386" i="3"/>
  <c r="K153" i="3"/>
  <c r="K170" i="3"/>
  <c r="K263" i="3"/>
  <c r="K278" i="3"/>
  <c r="K410" i="3"/>
  <c r="K302" i="3"/>
  <c r="K338" i="3"/>
  <c r="K321" i="3"/>
  <c r="K129" i="3"/>
  <c r="K182" i="3"/>
  <c r="K374" i="3"/>
  <c r="K242" i="3"/>
  <c r="K340" i="3"/>
  <c r="K458" i="3"/>
  <c r="K274" i="3"/>
  <c r="K188" i="3"/>
  <c r="K326" i="3"/>
  <c r="K362" i="3"/>
  <c r="K218" i="3"/>
  <c r="K232" i="3"/>
  <c r="K150" i="3"/>
  <c r="K422" i="3"/>
  <c r="K230" i="3"/>
  <c r="K446" i="3"/>
  <c r="K290" i="3"/>
  <c r="K482" i="3"/>
  <c r="K314" i="3"/>
  <c r="K194" i="3"/>
  <c r="K254" i="3"/>
  <c r="C5" i="2"/>
  <c r="C4" i="2"/>
  <c r="C6" i="2"/>
  <c r="K206" i="3"/>
  <c r="K165" i="3"/>
  <c r="K266" i="3"/>
  <c r="K293" i="3"/>
  <c r="K173" i="3"/>
  <c r="K167" i="3"/>
  <c r="K196" i="3"/>
  <c r="K398" i="3"/>
  <c r="K350" i="3"/>
  <c r="K494" i="3"/>
  <c r="K434" i="3"/>
  <c r="K470" i="3"/>
  <c r="K162" i="3"/>
  <c r="K126" i="3"/>
  <c r="C8" i="2" l="1"/>
</calcChain>
</file>

<file path=xl/sharedStrings.xml><?xml version="1.0" encoding="utf-8"?>
<sst xmlns="http://schemas.openxmlformats.org/spreadsheetml/2006/main" count="1141" uniqueCount="606">
  <si>
    <t>ID товара</t>
  </si>
  <si>
    <t>Название</t>
  </si>
  <si>
    <t>Категория</t>
  </si>
  <si>
    <t>Себестоимость</t>
  </si>
  <si>
    <t>Цена</t>
  </si>
  <si>
    <t>Т-001</t>
  </si>
  <si>
    <t>Смартфон Galaxy A54</t>
  </si>
  <si>
    <t>Электроника</t>
  </si>
  <si>
    <t>Т-002</t>
  </si>
  <si>
    <t>Наушники Sony WH-1000XM5</t>
  </si>
  <si>
    <t>Т-003</t>
  </si>
  <si>
    <t>Книга "Мастерство продаж"</t>
  </si>
  <si>
    <t>Книги</t>
  </si>
  <si>
    <t>Т-004</t>
  </si>
  <si>
    <t>Куртка зимняя North Face</t>
  </si>
  <si>
    <t>Одежда</t>
  </si>
  <si>
    <t>Т-005</t>
  </si>
  <si>
    <t>Кофемашина DeLonghi</t>
  </si>
  <si>
    <t>Для дома</t>
  </si>
  <si>
    <t>Т-006</t>
  </si>
  <si>
    <t>Кроссовки Nike Air Max</t>
  </si>
  <si>
    <t>Обувь</t>
  </si>
  <si>
    <t>Т-007</t>
  </si>
  <si>
    <t>Ноутбук Lenovo IdeaPad</t>
  </si>
  <si>
    <t>Т-008</t>
  </si>
  <si>
    <t>Чайник стеклянный</t>
  </si>
  <si>
    <t>Т-009</t>
  </si>
  <si>
    <t>Футболка хлопковая</t>
  </si>
  <si>
    <t>Т-010</t>
  </si>
  <si>
    <t>Монитор 24" Samsung</t>
  </si>
  <si>
    <t>Т-011</t>
  </si>
  <si>
    <t>Кресло офисное</t>
  </si>
  <si>
    <t>Т-012</t>
  </si>
  <si>
    <t>Рюкзак туристический</t>
  </si>
  <si>
    <t>Аксессуары</t>
  </si>
  <si>
    <t>Т-013</t>
  </si>
  <si>
    <t>Умные часы Apple Watch</t>
  </si>
  <si>
    <t>Т-014</t>
  </si>
  <si>
    <t>Набор посуды 12 предметов</t>
  </si>
  <si>
    <t>Т-015</t>
  </si>
  <si>
    <t>Джинсы Levi's 501</t>
  </si>
  <si>
    <t>Т-016</t>
  </si>
  <si>
    <t>Планшет iPad 10.2"</t>
  </si>
  <si>
    <t>Т-017</t>
  </si>
  <si>
    <t>Беговая дорожка</t>
  </si>
  <si>
    <t>Спорт</t>
  </si>
  <si>
    <t>Т-018</t>
  </si>
  <si>
    <t>Сумка кожаная женская</t>
  </si>
  <si>
    <t>Т-019</t>
  </si>
  <si>
    <t>Микрофон для стримов</t>
  </si>
  <si>
    <t>Т-020</t>
  </si>
  <si>
    <t>Йогуртница</t>
  </si>
  <si>
    <t>ID заказа</t>
  </si>
  <si>
    <t>Дата</t>
  </si>
  <si>
    <t>Кол во</t>
  </si>
  <si>
    <t>Цена за ед</t>
  </si>
  <si>
    <t>Скидка %</t>
  </si>
  <si>
    <t>Выручка</t>
  </si>
  <si>
    <t>Прибыль</t>
  </si>
  <si>
    <t>Маржа %</t>
  </si>
  <si>
    <t>Анализ продаж интернет-магазина | 2024 год</t>
  </si>
  <si>
    <t>Общая выручка</t>
  </si>
  <si>
    <t>Общая прибыль</t>
  </si>
  <si>
    <t>Средний чек</t>
  </si>
  <si>
    <t>Количество заказов</t>
  </si>
  <si>
    <t>Средняя маржа</t>
  </si>
  <si>
    <t>Топ товар</t>
  </si>
  <si>
    <t>З-0001</t>
  </si>
  <si>
    <t>З-0002</t>
  </si>
  <si>
    <t>З-0003</t>
  </si>
  <si>
    <t>З-0004</t>
  </si>
  <si>
    <t>З-0005</t>
  </si>
  <si>
    <t>З-0006</t>
  </si>
  <si>
    <t>З-0007</t>
  </si>
  <si>
    <t>З-0008</t>
  </si>
  <si>
    <t>З-0009</t>
  </si>
  <si>
    <t>З-0010</t>
  </si>
  <si>
    <t>З-0011</t>
  </si>
  <si>
    <t>З-0012</t>
  </si>
  <si>
    <t>З-0013</t>
  </si>
  <si>
    <t>З-0014</t>
  </si>
  <si>
    <t>З-0015</t>
  </si>
  <si>
    <t>З-0016</t>
  </si>
  <si>
    <t>З-0017</t>
  </si>
  <si>
    <t>З-0018</t>
  </si>
  <si>
    <t>З-0019</t>
  </si>
  <si>
    <t>З-0020</t>
  </si>
  <si>
    <t>З-0021</t>
  </si>
  <si>
    <t>З-0022</t>
  </si>
  <si>
    <t>З-0023</t>
  </si>
  <si>
    <t>З-0024</t>
  </si>
  <si>
    <t>З-0025</t>
  </si>
  <si>
    <t>З-0026</t>
  </si>
  <si>
    <t>З-0027</t>
  </si>
  <si>
    <t>З-0028</t>
  </si>
  <si>
    <t>З-0029</t>
  </si>
  <si>
    <t>З-0030</t>
  </si>
  <si>
    <t>З-0031</t>
  </si>
  <si>
    <t>З-0032</t>
  </si>
  <si>
    <t>З-0033</t>
  </si>
  <si>
    <t>З-0034</t>
  </si>
  <si>
    <t>З-0035</t>
  </si>
  <si>
    <t>З-0036</t>
  </si>
  <si>
    <t>З-0037</t>
  </si>
  <si>
    <t>З-0038</t>
  </si>
  <si>
    <t>З-0039</t>
  </si>
  <si>
    <t>З-0040</t>
  </si>
  <si>
    <t>З-0041</t>
  </si>
  <si>
    <t>З-0042</t>
  </si>
  <si>
    <t>З-0043</t>
  </si>
  <si>
    <t>З-0044</t>
  </si>
  <si>
    <t>З-0045</t>
  </si>
  <si>
    <t>З-0046</t>
  </si>
  <si>
    <t>З-0047</t>
  </si>
  <si>
    <t>З-0048</t>
  </si>
  <si>
    <t>З-0049</t>
  </si>
  <si>
    <t>З-0050</t>
  </si>
  <si>
    <t>З-0051</t>
  </si>
  <si>
    <t>З-0052</t>
  </si>
  <si>
    <t>З-0053</t>
  </si>
  <si>
    <t>З-0054</t>
  </si>
  <si>
    <t>З-0055</t>
  </si>
  <si>
    <t>З-0056</t>
  </si>
  <si>
    <t>З-0057</t>
  </si>
  <si>
    <t>З-0058</t>
  </si>
  <si>
    <t>З-0059</t>
  </si>
  <si>
    <t>З-0060</t>
  </si>
  <si>
    <t>З-0061</t>
  </si>
  <si>
    <t>З-0062</t>
  </si>
  <si>
    <t>З-0063</t>
  </si>
  <si>
    <t>З-0064</t>
  </si>
  <si>
    <t>З-0065</t>
  </si>
  <si>
    <t>З-0066</t>
  </si>
  <si>
    <t>З-0067</t>
  </si>
  <si>
    <t>З-0068</t>
  </si>
  <si>
    <t>З-0069</t>
  </si>
  <si>
    <t>З-0070</t>
  </si>
  <si>
    <t>З-0071</t>
  </si>
  <si>
    <t>З-0072</t>
  </si>
  <si>
    <t>З-0073</t>
  </si>
  <si>
    <t>З-0074</t>
  </si>
  <si>
    <t>З-0075</t>
  </si>
  <si>
    <t>З-0076</t>
  </si>
  <si>
    <t>З-0077</t>
  </si>
  <si>
    <t>З-0078</t>
  </si>
  <si>
    <t>З-0079</t>
  </si>
  <si>
    <t>З-0080</t>
  </si>
  <si>
    <t>З-0081</t>
  </si>
  <si>
    <t>З-0082</t>
  </si>
  <si>
    <t>З-0083</t>
  </si>
  <si>
    <t>З-0084</t>
  </si>
  <si>
    <t>З-0085</t>
  </si>
  <si>
    <t>З-0086</t>
  </si>
  <si>
    <t>З-0087</t>
  </si>
  <si>
    <t>З-0088</t>
  </si>
  <si>
    <t>З-0089</t>
  </si>
  <si>
    <t>З-0090</t>
  </si>
  <si>
    <t>З-0091</t>
  </si>
  <si>
    <t>З-0092</t>
  </si>
  <si>
    <t>З-0093</t>
  </si>
  <si>
    <t>З-0094</t>
  </si>
  <si>
    <t>З-0095</t>
  </si>
  <si>
    <t>З-0096</t>
  </si>
  <si>
    <t>З-0097</t>
  </si>
  <si>
    <t>З-0098</t>
  </si>
  <si>
    <t>З-0099</t>
  </si>
  <si>
    <t>З-0100</t>
  </si>
  <si>
    <t>З-0101</t>
  </si>
  <si>
    <t>З-0102</t>
  </si>
  <si>
    <t>З-0103</t>
  </si>
  <si>
    <t>З-0104</t>
  </si>
  <si>
    <t>З-0105</t>
  </si>
  <si>
    <t>З-0106</t>
  </si>
  <si>
    <t>З-0107</t>
  </si>
  <si>
    <t>З-0108</t>
  </si>
  <si>
    <t>З-0109</t>
  </si>
  <si>
    <t>З-0110</t>
  </si>
  <si>
    <t>З-0111</t>
  </si>
  <si>
    <t>З-0112</t>
  </si>
  <si>
    <t>З-0113</t>
  </si>
  <si>
    <t>З-0114</t>
  </si>
  <si>
    <t>З-0115</t>
  </si>
  <si>
    <t>З-0116</t>
  </si>
  <si>
    <t>З-0117</t>
  </si>
  <si>
    <t>З-0118</t>
  </si>
  <si>
    <t>З-0119</t>
  </si>
  <si>
    <t>З-0120</t>
  </si>
  <si>
    <t>З-0121</t>
  </si>
  <si>
    <t>З-0122</t>
  </si>
  <si>
    <t>З-0123</t>
  </si>
  <si>
    <t>З-0124</t>
  </si>
  <si>
    <t>З-0125</t>
  </si>
  <si>
    <t>З-0126</t>
  </si>
  <si>
    <t>З-0127</t>
  </si>
  <si>
    <t>З-0128</t>
  </si>
  <si>
    <t>З-0129</t>
  </si>
  <si>
    <t>З-0130</t>
  </si>
  <si>
    <t>З-0131</t>
  </si>
  <si>
    <t>З-0132</t>
  </si>
  <si>
    <t>З-0133</t>
  </si>
  <si>
    <t>З-0134</t>
  </si>
  <si>
    <t>З-0135</t>
  </si>
  <si>
    <t>З-0136</t>
  </si>
  <si>
    <t>З-0137</t>
  </si>
  <si>
    <t>З-0138</t>
  </si>
  <si>
    <t>З-0139</t>
  </si>
  <si>
    <t>З-0140</t>
  </si>
  <si>
    <t>З-0141</t>
  </si>
  <si>
    <t>З-0142</t>
  </si>
  <si>
    <t>З-0143</t>
  </si>
  <si>
    <t>З-0144</t>
  </si>
  <si>
    <t>З-0145</t>
  </si>
  <si>
    <t>З-0146</t>
  </si>
  <si>
    <t>З-0147</t>
  </si>
  <si>
    <t>З-0148</t>
  </si>
  <si>
    <t>З-0149</t>
  </si>
  <si>
    <t>З-0150</t>
  </si>
  <si>
    <t>З-0151</t>
  </si>
  <si>
    <t>З-0152</t>
  </si>
  <si>
    <t>З-0153</t>
  </si>
  <si>
    <t>З-0154</t>
  </si>
  <si>
    <t>З-0155</t>
  </si>
  <si>
    <t>З-0156</t>
  </si>
  <si>
    <t>З-0157</t>
  </si>
  <si>
    <t>З-0158</t>
  </si>
  <si>
    <t>З-0159</t>
  </si>
  <si>
    <t>З-0160</t>
  </si>
  <si>
    <t>З-0161</t>
  </si>
  <si>
    <t>З-0162</t>
  </si>
  <si>
    <t>З-0163</t>
  </si>
  <si>
    <t>З-0164</t>
  </si>
  <si>
    <t>З-0165</t>
  </si>
  <si>
    <t>З-0166</t>
  </si>
  <si>
    <t>З-0167</t>
  </si>
  <si>
    <t>З-0168</t>
  </si>
  <si>
    <t>З-0169</t>
  </si>
  <si>
    <t>З-0170</t>
  </si>
  <si>
    <t>З-0171</t>
  </si>
  <si>
    <t>З-0172</t>
  </si>
  <si>
    <t>З-0173</t>
  </si>
  <si>
    <t>З-0174</t>
  </si>
  <si>
    <t>З-0175</t>
  </si>
  <si>
    <t>З-0176</t>
  </si>
  <si>
    <t>З-0177</t>
  </si>
  <si>
    <t>З-0178</t>
  </si>
  <si>
    <t>З-0179</t>
  </si>
  <si>
    <t>З-0180</t>
  </si>
  <si>
    <t>З-0181</t>
  </si>
  <si>
    <t>З-0182</t>
  </si>
  <si>
    <t>З-0183</t>
  </si>
  <si>
    <t>З-0184</t>
  </si>
  <si>
    <t>З-0185</t>
  </si>
  <si>
    <t>З-0186</t>
  </si>
  <si>
    <t>З-0187</t>
  </si>
  <si>
    <t>З-0188</t>
  </si>
  <si>
    <t>З-0189</t>
  </si>
  <si>
    <t>З-0190</t>
  </si>
  <si>
    <t>З-0191</t>
  </si>
  <si>
    <t>З-0192</t>
  </si>
  <si>
    <t>З-0193</t>
  </si>
  <si>
    <t>З-0194</t>
  </si>
  <si>
    <t>З-0195</t>
  </si>
  <si>
    <t>З-0196</t>
  </si>
  <si>
    <t>З-0197</t>
  </si>
  <si>
    <t>З-0198</t>
  </si>
  <si>
    <t>З-0199</t>
  </si>
  <si>
    <t>З-0200</t>
  </si>
  <si>
    <t>З-0201</t>
  </si>
  <si>
    <t>З-0202</t>
  </si>
  <si>
    <t>З-0203</t>
  </si>
  <si>
    <t>З-0204</t>
  </si>
  <si>
    <t>З-0205</t>
  </si>
  <si>
    <t>З-0206</t>
  </si>
  <si>
    <t>З-0207</t>
  </si>
  <si>
    <t>З-0208</t>
  </si>
  <si>
    <t>З-0209</t>
  </si>
  <si>
    <t>З-0210</t>
  </si>
  <si>
    <t>З-0211</t>
  </si>
  <si>
    <t>З-0212</t>
  </si>
  <si>
    <t>З-0213</t>
  </si>
  <si>
    <t>З-0214</t>
  </si>
  <si>
    <t>З-0215</t>
  </si>
  <si>
    <t>З-0216</t>
  </si>
  <si>
    <t>З-0217</t>
  </si>
  <si>
    <t>З-0218</t>
  </si>
  <si>
    <t>З-0219</t>
  </si>
  <si>
    <t>З-0220</t>
  </si>
  <si>
    <t>З-0221</t>
  </si>
  <si>
    <t>З-0222</t>
  </si>
  <si>
    <t>З-0223</t>
  </si>
  <si>
    <t>З-0224</t>
  </si>
  <si>
    <t>З-0225</t>
  </si>
  <si>
    <t>З-0226</t>
  </si>
  <si>
    <t>З-0227</t>
  </si>
  <si>
    <t>З-0228</t>
  </si>
  <si>
    <t>З-0229</t>
  </si>
  <si>
    <t>З-0230</t>
  </si>
  <si>
    <t>З-0231</t>
  </si>
  <si>
    <t>З-0232</t>
  </si>
  <si>
    <t>З-0233</t>
  </si>
  <si>
    <t>З-0234</t>
  </si>
  <si>
    <t>З-0235</t>
  </si>
  <si>
    <t>З-0236</t>
  </si>
  <si>
    <t>З-0237</t>
  </si>
  <si>
    <t>З-0238</t>
  </si>
  <si>
    <t>З-0239</t>
  </si>
  <si>
    <t>З-0240</t>
  </si>
  <si>
    <t>З-0241</t>
  </si>
  <si>
    <t>З-0242</t>
  </si>
  <si>
    <t>З-0243</t>
  </si>
  <si>
    <t>З-0244</t>
  </si>
  <si>
    <t>З-0245</t>
  </si>
  <si>
    <t>З-0246</t>
  </si>
  <si>
    <t>З-0247</t>
  </si>
  <si>
    <t>З-0248</t>
  </si>
  <si>
    <t>З-0249</t>
  </si>
  <si>
    <t>З-0250</t>
  </si>
  <si>
    <t>З-0251</t>
  </si>
  <si>
    <t>З-0252</t>
  </si>
  <si>
    <t>З-0253</t>
  </si>
  <si>
    <t>З-0254</t>
  </si>
  <si>
    <t>З-0255</t>
  </si>
  <si>
    <t>З-0256</t>
  </si>
  <si>
    <t>З-0257</t>
  </si>
  <si>
    <t>З-0258</t>
  </si>
  <si>
    <t>З-0259</t>
  </si>
  <si>
    <t>З-0260</t>
  </si>
  <si>
    <t>З-0261</t>
  </si>
  <si>
    <t>З-0262</t>
  </si>
  <si>
    <t>З-0263</t>
  </si>
  <si>
    <t>З-0264</t>
  </si>
  <si>
    <t>З-0265</t>
  </si>
  <si>
    <t>З-0266</t>
  </si>
  <si>
    <t>З-0267</t>
  </si>
  <si>
    <t>З-0268</t>
  </si>
  <si>
    <t>З-0269</t>
  </si>
  <si>
    <t>З-0270</t>
  </si>
  <si>
    <t>З-0271</t>
  </si>
  <si>
    <t>З-0272</t>
  </si>
  <si>
    <t>З-0273</t>
  </si>
  <si>
    <t>З-0274</t>
  </si>
  <si>
    <t>З-0275</t>
  </si>
  <si>
    <t>З-0276</t>
  </si>
  <si>
    <t>З-0277</t>
  </si>
  <si>
    <t>З-0278</t>
  </si>
  <si>
    <t>З-0279</t>
  </si>
  <si>
    <t>З-0280</t>
  </si>
  <si>
    <t>З-0281</t>
  </si>
  <si>
    <t>З-0282</t>
  </si>
  <si>
    <t>З-0283</t>
  </si>
  <si>
    <t>З-0284</t>
  </si>
  <si>
    <t>З-0285</t>
  </si>
  <si>
    <t>З-0286</t>
  </si>
  <si>
    <t>З-0287</t>
  </si>
  <si>
    <t>З-0288</t>
  </si>
  <si>
    <t>З-0289</t>
  </si>
  <si>
    <t>З-0290</t>
  </si>
  <si>
    <t>З-0291</t>
  </si>
  <si>
    <t>З-0292</t>
  </si>
  <si>
    <t>З-0293</t>
  </si>
  <si>
    <t>З-0294</t>
  </si>
  <si>
    <t>З-0295</t>
  </si>
  <si>
    <t>З-0296</t>
  </si>
  <si>
    <t>З-0297</t>
  </si>
  <si>
    <t>З-0298</t>
  </si>
  <si>
    <t>З-0299</t>
  </si>
  <si>
    <t>З-0300</t>
  </si>
  <si>
    <t>З-0301</t>
  </si>
  <si>
    <t>З-0302</t>
  </si>
  <si>
    <t>З-0303</t>
  </si>
  <si>
    <t>З-0304</t>
  </si>
  <si>
    <t>З-0305</t>
  </si>
  <si>
    <t>З-0306</t>
  </si>
  <si>
    <t>З-0307</t>
  </si>
  <si>
    <t>З-0308</t>
  </si>
  <si>
    <t>З-0309</t>
  </si>
  <si>
    <t>З-0310</t>
  </si>
  <si>
    <t>З-0311</t>
  </si>
  <si>
    <t>З-0312</t>
  </si>
  <si>
    <t>З-0313</t>
  </si>
  <si>
    <t>З-0314</t>
  </si>
  <si>
    <t>З-0315</t>
  </si>
  <si>
    <t>З-0316</t>
  </si>
  <si>
    <t>З-0317</t>
  </si>
  <si>
    <t>З-0318</t>
  </si>
  <si>
    <t>З-0319</t>
  </si>
  <si>
    <t>З-0320</t>
  </si>
  <si>
    <t>З-0321</t>
  </si>
  <si>
    <t>З-0322</t>
  </si>
  <si>
    <t>З-0323</t>
  </si>
  <si>
    <t>З-0324</t>
  </si>
  <si>
    <t>З-0325</t>
  </si>
  <si>
    <t>З-0326</t>
  </si>
  <si>
    <t>З-0327</t>
  </si>
  <si>
    <t>З-0328</t>
  </si>
  <si>
    <t>З-0329</t>
  </si>
  <si>
    <t>З-0330</t>
  </si>
  <si>
    <t>З-0331</t>
  </si>
  <si>
    <t>З-0332</t>
  </si>
  <si>
    <t>З-0333</t>
  </si>
  <si>
    <t>З-0334</t>
  </si>
  <si>
    <t>З-0335</t>
  </si>
  <si>
    <t>З-0336</t>
  </si>
  <si>
    <t>З-0337</t>
  </si>
  <si>
    <t>З-0338</t>
  </si>
  <si>
    <t>З-0339</t>
  </si>
  <si>
    <t>З-0340</t>
  </si>
  <si>
    <t>З-0341</t>
  </si>
  <si>
    <t>З-0342</t>
  </si>
  <si>
    <t>З-0343</t>
  </si>
  <si>
    <t>З-0344</t>
  </si>
  <si>
    <t>З-0345</t>
  </si>
  <si>
    <t>З-0346</t>
  </si>
  <si>
    <t>З-0347</t>
  </si>
  <si>
    <t>З-0348</t>
  </si>
  <si>
    <t>З-0349</t>
  </si>
  <si>
    <t>З-0350</t>
  </si>
  <si>
    <t>З-0351</t>
  </si>
  <si>
    <t>З-0352</t>
  </si>
  <si>
    <t>З-0353</t>
  </si>
  <si>
    <t>З-0354</t>
  </si>
  <si>
    <t>З-0355</t>
  </si>
  <si>
    <t>З-0356</t>
  </si>
  <si>
    <t>З-0357</t>
  </si>
  <si>
    <t>З-0358</t>
  </si>
  <si>
    <t>З-0359</t>
  </si>
  <si>
    <t>З-0360</t>
  </si>
  <si>
    <t>З-0361</t>
  </si>
  <si>
    <t>З-0362</t>
  </si>
  <si>
    <t>З-0363</t>
  </si>
  <si>
    <t>З-0364</t>
  </si>
  <si>
    <t>З-0365</t>
  </si>
  <si>
    <t>З-0366</t>
  </si>
  <si>
    <t>З-0367</t>
  </si>
  <si>
    <t>З-0368</t>
  </si>
  <si>
    <t>З-0369</t>
  </si>
  <si>
    <t>З-0370</t>
  </si>
  <si>
    <t>З-0371</t>
  </si>
  <si>
    <t>З-0372</t>
  </si>
  <si>
    <t>З-0373</t>
  </si>
  <si>
    <t>З-0374</t>
  </si>
  <si>
    <t>З-0375</t>
  </si>
  <si>
    <t>З-0376</t>
  </si>
  <si>
    <t>З-0377</t>
  </si>
  <si>
    <t>З-0378</t>
  </si>
  <si>
    <t>З-0379</t>
  </si>
  <si>
    <t>З-0380</t>
  </si>
  <si>
    <t>З-0381</t>
  </si>
  <si>
    <t>З-0382</t>
  </si>
  <si>
    <t>З-0383</t>
  </si>
  <si>
    <t>З-0384</t>
  </si>
  <si>
    <t>З-0385</t>
  </si>
  <si>
    <t>З-0386</t>
  </si>
  <si>
    <t>З-0387</t>
  </si>
  <si>
    <t>З-0388</t>
  </si>
  <si>
    <t>З-0389</t>
  </si>
  <si>
    <t>З-0390</t>
  </si>
  <si>
    <t>З-0391</t>
  </si>
  <si>
    <t>З-0392</t>
  </si>
  <si>
    <t>З-0393</t>
  </si>
  <si>
    <t>З-0394</t>
  </si>
  <si>
    <t>З-0395</t>
  </si>
  <si>
    <t>З-0396</t>
  </si>
  <si>
    <t>З-0397</t>
  </si>
  <si>
    <t>З-0398</t>
  </si>
  <si>
    <t>З-0399</t>
  </si>
  <si>
    <t>З-0400</t>
  </si>
  <si>
    <t>З-0401</t>
  </si>
  <si>
    <t>З-0402</t>
  </si>
  <si>
    <t>З-0403</t>
  </si>
  <si>
    <t>З-0404</t>
  </si>
  <si>
    <t>З-0405</t>
  </si>
  <si>
    <t>З-0406</t>
  </si>
  <si>
    <t>З-0407</t>
  </si>
  <si>
    <t>З-0408</t>
  </si>
  <si>
    <t>З-0409</t>
  </si>
  <si>
    <t>З-0410</t>
  </si>
  <si>
    <t>З-0411</t>
  </si>
  <si>
    <t>З-0412</t>
  </si>
  <si>
    <t>З-0413</t>
  </si>
  <si>
    <t>З-0414</t>
  </si>
  <si>
    <t>З-0415</t>
  </si>
  <si>
    <t>З-0416</t>
  </si>
  <si>
    <t>З-0417</t>
  </si>
  <si>
    <t>З-0418</t>
  </si>
  <si>
    <t>З-0419</t>
  </si>
  <si>
    <t>З-0420</t>
  </si>
  <si>
    <t>З-0421</t>
  </si>
  <si>
    <t>З-0422</t>
  </si>
  <si>
    <t>З-0423</t>
  </si>
  <si>
    <t>З-0424</t>
  </si>
  <si>
    <t>З-0425</t>
  </si>
  <si>
    <t>З-0426</t>
  </si>
  <si>
    <t>З-0427</t>
  </si>
  <si>
    <t>З-0428</t>
  </si>
  <si>
    <t>З-0429</t>
  </si>
  <si>
    <t>З-0430</t>
  </si>
  <si>
    <t>З-0431</t>
  </si>
  <si>
    <t>З-0432</t>
  </si>
  <si>
    <t>З-0433</t>
  </si>
  <si>
    <t>З-0434</t>
  </si>
  <si>
    <t>З-0435</t>
  </si>
  <si>
    <t>З-0436</t>
  </si>
  <si>
    <t>З-0437</t>
  </si>
  <si>
    <t>З-0438</t>
  </si>
  <si>
    <t>З-0439</t>
  </si>
  <si>
    <t>З-0440</t>
  </si>
  <si>
    <t>З-0441</t>
  </si>
  <si>
    <t>З-0442</t>
  </si>
  <si>
    <t>З-0443</t>
  </si>
  <si>
    <t>З-0444</t>
  </si>
  <si>
    <t>З-0445</t>
  </si>
  <si>
    <t>З-0446</t>
  </si>
  <si>
    <t>З-0447</t>
  </si>
  <si>
    <t>З-0448</t>
  </si>
  <si>
    <t>З-0449</t>
  </si>
  <si>
    <t>З-0450</t>
  </si>
  <si>
    <t>З-0451</t>
  </si>
  <si>
    <t>З-0452</t>
  </si>
  <si>
    <t>З-0453</t>
  </si>
  <si>
    <t>З-0454</t>
  </si>
  <si>
    <t>З-0455</t>
  </si>
  <si>
    <t>З-0456</t>
  </si>
  <si>
    <t>З-0457</t>
  </si>
  <si>
    <t>З-0458</t>
  </si>
  <si>
    <t>З-0459</t>
  </si>
  <si>
    <t>З-0460</t>
  </si>
  <si>
    <t>З-0461</t>
  </si>
  <si>
    <t>З-0462</t>
  </si>
  <si>
    <t>З-0463</t>
  </si>
  <si>
    <t>З-0464</t>
  </si>
  <si>
    <t>З-0465</t>
  </si>
  <si>
    <t>З-0466</t>
  </si>
  <si>
    <t>З-0467</t>
  </si>
  <si>
    <t>З-0468</t>
  </si>
  <si>
    <t>З-0469</t>
  </si>
  <si>
    <t>З-0470</t>
  </si>
  <si>
    <t>З-0471</t>
  </si>
  <si>
    <t>З-0472</t>
  </si>
  <si>
    <t>З-0473</t>
  </si>
  <si>
    <t>З-0474</t>
  </si>
  <si>
    <t>З-0475</t>
  </si>
  <si>
    <t>З-0476</t>
  </si>
  <si>
    <t>З-0477</t>
  </si>
  <si>
    <t>З-0478</t>
  </si>
  <si>
    <t>З-0479</t>
  </si>
  <si>
    <t>З-0480</t>
  </si>
  <si>
    <t>З-0481</t>
  </si>
  <si>
    <t>З-0482</t>
  </si>
  <si>
    <t>З-0483</t>
  </si>
  <si>
    <t>З-0484</t>
  </si>
  <si>
    <t>З-0485</t>
  </si>
  <si>
    <t>З-0486</t>
  </si>
  <si>
    <t>З-0487</t>
  </si>
  <si>
    <t>З-0488</t>
  </si>
  <si>
    <t>З-0489</t>
  </si>
  <si>
    <t>З-0490</t>
  </si>
  <si>
    <t>З-0491</t>
  </si>
  <si>
    <t>З-0492</t>
  </si>
  <si>
    <t>З-0493</t>
  </si>
  <si>
    <t>З-0494</t>
  </si>
  <si>
    <t>З-0495</t>
  </si>
  <si>
    <t>З-0496</t>
  </si>
  <si>
    <t>З-0497</t>
  </si>
  <si>
    <t>З-0498</t>
  </si>
  <si>
    <t>З-0499</t>
  </si>
  <si>
    <t>З-0500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</si>
  <si>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</si>
  <si>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</si>
  <si>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</si>
  <si>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</si>
  <si>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</si>
  <si>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</si>
  <si>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</si>
  <si>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</si>
  <si>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</si>
  <si>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</si>
  <si>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</si>
  <si>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</si>
  <si>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</si>
  <si>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Прибыль, Р</t>
  </si>
  <si>
    <t>Название товара</t>
  </si>
  <si>
    <t>Товар</t>
  </si>
  <si>
    <t>Выручка, Р</t>
  </si>
  <si>
    <t>Динамика выручки по месяцам</t>
  </si>
  <si>
    <t>Прибыль по категориям</t>
  </si>
  <si>
    <t>Топ-5 товаров по прибыли</t>
  </si>
  <si>
    <t>Финансовая модель прогноза прибыли</t>
  </si>
  <si>
    <t>Показатель</t>
  </si>
  <si>
    <t>Значение</t>
  </si>
  <si>
    <t>Средняя скидка</t>
  </si>
  <si>
    <t>Заказов в месяц</t>
  </si>
  <si>
    <t>Текущие показатели (на основе данных 2024)</t>
  </si>
  <si>
    <t>Выручка в месяц</t>
  </si>
  <si>
    <t>Прибыль в месяц</t>
  </si>
  <si>
    <t>Сценарий</t>
  </si>
  <si>
    <t>Скидка</t>
  </si>
  <si>
    <t>Заказов</t>
  </si>
  <si>
    <t>Прибыль/мес</t>
  </si>
  <si>
    <t>Пессимистичный</t>
  </si>
  <si>
    <t>Базовый</t>
  </si>
  <si>
    <t>Оптимистичный</t>
  </si>
  <si>
    <t>Норма прибыли</t>
  </si>
  <si>
    <t>Текущие показатели</t>
  </si>
  <si>
    <t>Сравнение сценариев</t>
  </si>
  <si>
    <t>Прогноз прибыли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</si>
</sst>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₽&quot;;[Red]\-#,##0\ &quot;₽&quot;"/>
    <numFmt numFmtId="164" formatCode="#,##0\ &quot;₽&quot;"/>
    <numFmt numFmtId="165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Consolas"/>
      <family val="3"/>
      <charset val="204"/>
    </font>
    <font>
      <b/>
      <sz val="12"/>
      <color rgb="FF0F1115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sz val="16"/>
      <color rgb="FF0F1115"/>
      <name val="Times New Roman"/>
      <family val="1"/>
      <charset val="204"/>
    </font>
    <font>
      <sz val="18"/>
      <color rgb="FF0F1115"/>
      <name val="Times New Roman"/>
      <family val="1"/>
      <charset val="204"/>
    </font>
    <font>
      <b/>
      <sz val="16"/>
      <color rgb="FF0F1115"/>
      <name val="Times New Roman"/>
      <family val="1"/>
      <charset val="204"/>
    </font>
    <font>
      <b/>
      <sz val="14"/>
      <color rgb="FF0F1115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0F1115"/>
      <name val="Times New Roman"/>
      <family val="1"/>
      <charset val="204"/>
    </font>
    <font>
      <sz val="10"/>
      <color rgb="FF0F1115"/>
      <name val="Consolas"/>
      <family val="3"/>
      <charset val="204"/>
    </font>
    <font>
      <sz val="14"/>
      <color theme="1"/>
      <name val="Times New Roman"/>
      <family val="1"/>
      <charset val="204"/>
    </font>
    <font>
      <sz val="14"/>
      <color rgb="FF0F1115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4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9" fontId="5" fillId="0" borderId="0" xfId="1" applyFont="1" applyAlignment="1">
      <alignment horizontal="center" vertical="center"/>
    </xf>
    <xf numFmtId="14" fontId="6" fillId="0" borderId="0" xfId="0" applyNumberFormat="1" applyFont="1"/>
    <xf numFmtId="165" fontId="5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left" vertical="center" indent="1"/>
    </xf>
    <xf numFmtId="164" fontId="5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9" fontId="6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11" fillId="0" borderId="0" xfId="0" applyFont="1" applyAlignment="1">
      <alignment vertical="center" readingOrder="1"/>
    </xf>
    <xf numFmtId="0" fontId="0" fillId="3" borderId="0" xfId="0" applyFill="1"/>
    <xf numFmtId="0" fontId="7" fillId="3" borderId="1" xfId="0" applyFont="1" applyFill="1" applyBorder="1" applyAlignment="1">
      <alignment horizontal="left" vertical="center" indent="1"/>
    </xf>
    <xf numFmtId="6" fontId="9" fillId="3" borderId="1" xfId="0" applyNumberFormat="1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/>
    </xf>
    <xf numFmtId="165" fontId="10" fillId="3" borderId="1" xfId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wrapText="1"/>
    </xf>
    <xf numFmtId="0" fontId="8" fillId="3" borderId="0" xfId="0" applyFont="1" applyFill="1"/>
    <xf numFmtId="0" fontId="15" fillId="0" borderId="0" xfId="0" applyFont="1" applyAlignment="1">
      <alignment horizontal="left" vertical="center" indent="1"/>
    </xf>
    <xf numFmtId="0" fontId="16" fillId="0" borderId="0" xfId="0" applyFont="1"/>
    <xf numFmtId="0" fontId="17" fillId="0" borderId="0" xfId="0" applyFont="1" applyAlignment="1">
      <alignment horizontal="left" vertical="center" indent="1"/>
    </xf>
    <xf numFmtId="164" fontId="15" fillId="0" borderId="0" xfId="0" applyNumberFormat="1" applyFont="1" applyAlignment="1">
      <alignment horizontal="right" vertical="center" indent="1"/>
    </xf>
    <xf numFmtId="9" fontId="15" fillId="0" borderId="0" xfId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8" fillId="0" borderId="0" xfId="0" applyFont="1"/>
    <xf numFmtId="9" fontId="17" fillId="0" borderId="0" xfId="1" applyFont="1" applyAlignment="1">
      <alignment horizontal="right" vertical="center" indent="1"/>
    </xf>
    <xf numFmtId="164" fontId="17" fillId="0" borderId="0" xfId="0" applyNumberFormat="1" applyFont="1" applyAlignment="1">
      <alignment horizontal="right" vertical="center" indent="1"/>
    </xf>
    <xf numFmtId="0" fontId="10" fillId="4" borderId="0" xfId="0" applyFont="1" applyFill="1" applyAlignment="1">
      <alignment horizontal="center" vertical="top" wrapText="1"/>
    </xf>
    <xf numFmtId="0" fontId="17" fillId="4" borderId="0" xfId="0" applyFont="1" applyFill="1" applyAlignment="1">
      <alignment horizontal="left" vertical="center" indent="1"/>
    </xf>
    <xf numFmtId="0" fontId="16" fillId="4" borderId="0" xfId="0" applyFont="1" applyFill="1"/>
    <xf numFmtId="0" fontId="5" fillId="4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/>
    </xf>
    <xf numFmtId="0" fontId="10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top" wrapText="1"/>
    </xf>
    <xf numFmtId="0" fontId="0" fillId="5" borderId="0" xfId="0" applyFill="1"/>
    <xf numFmtId="0" fontId="16" fillId="5" borderId="0" xfId="0" applyFont="1" applyFill="1" applyAlignment="1">
      <alignment horizontal="right"/>
    </xf>
    <xf numFmtId="0" fontId="17" fillId="5" borderId="0" xfId="0" applyFont="1" applyFill="1" applyAlignment="1">
      <alignment horizontal="left" vertical="center" indent="1"/>
    </xf>
    <xf numFmtId="0" fontId="16" fillId="5" borderId="0" xfId="0" applyFont="1" applyFill="1"/>
    <xf numFmtId="164" fontId="17" fillId="5" borderId="0" xfId="0" applyNumberFormat="1" applyFont="1" applyFill="1" applyAlignment="1">
      <alignment horizontal="right" vertical="center" indent="1"/>
    </xf>
    <xf numFmtId="0" fontId="6" fillId="3" borderId="0" xfId="0" applyFont="1" applyFill="1" applyAlignment="1">
      <alignment horizontal="left" vertical="center" indent="1"/>
    </xf>
    <xf numFmtId="9" fontId="6" fillId="3" borderId="0" xfId="0" applyNumberFormat="1" applyFont="1" applyFill="1" applyAlignment="1">
      <alignment horizontal="center" vertical="center"/>
    </xf>
    <xf numFmtId="0" fontId="16" fillId="3" borderId="0" xfId="0" applyFont="1" applyFill="1"/>
    <xf numFmtId="1" fontId="6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indent="1"/>
    </xf>
    <xf numFmtId="164" fontId="6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left" vertical="center" indent="1"/>
    </xf>
    <xf numFmtId="164" fontId="6" fillId="3" borderId="0" xfId="0" applyNumberFormat="1" applyFont="1" applyFill="1" applyAlignment="1">
      <alignment horizontal="right" vertical="center" indent="1"/>
    </xf>
    <xf numFmtId="9" fontId="6" fillId="3" borderId="0" xfId="1" applyFont="1" applyFill="1" applyAlignment="1">
      <alignment horizontal="center" vertical="center"/>
    </xf>
    <xf numFmtId="0" fontId="18" fillId="0" borderId="0" xfId="0" pivotButton="1" applyFont="1"/>
    <xf numFmtId="0" fontId="18" fillId="0" borderId="0" xfId="0" applyFont="1" applyAlignment="1">
      <alignment horizontal="left"/>
    </xf>
    <xf numFmtId="164" fontId="18" fillId="0" borderId="0" xfId="0" applyNumberFormat="1" applyFont="1"/>
    <xf numFmtId="0" fontId="18" fillId="0" borderId="0" xfId="0" applyFont="1" applyAlignment="1">
      <alignment vertical="center" readingOrder="1"/>
    </xf>
    <xf numFmtId="0" fontId="20" fillId="0" borderId="0" xfId="0" applyFont="1" applyAlignment="1">
      <alignment horizontal="left"/>
    </xf>
    <xf numFmtId="164" fontId="20" fillId="0" borderId="0" xfId="0" applyNumberFormat="1" applyFont="1"/>
    <xf numFmtId="0" fontId="14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vertical="center" readingOrder="1"/>
    </xf>
    <xf numFmtId="0" fontId="11" fillId="0" borderId="0" xfId="0" applyFont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9" fillId="3" borderId="0" xfId="0" applyFont="1" applyFill="1" applyAlignment="1">
      <alignment horizontal="center"/>
    </xf>
  </cellXfs>
  <cellStyles count="2">
    <cellStyle name="Обычный" xfId="0" builtinId="0"/>
    <cellStyle name="Процентный" xfId="1" builtinId="5"/>
  </cellStyles>
  <dxfs count="79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color auto="1"/>
      </font>
    </dxf>
    <dxf>
      <font>
        <color rgb="FFFF000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numFmt numFmtId="165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numFmt numFmtId="164" formatCode="#,##0\ &quot;₽&quot;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numFmt numFmtId="164" formatCode="#,##0\ &quot;₽&quot;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numFmt numFmtId="164" formatCode="#,##0\ &quot;₽&quot;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numFmt numFmtId="165" formatCode="0.0%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numFmt numFmtId="0" formatCode="General"/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эффективности интернет-магазина.xlsx]Анализ!Сводная таблица4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Динамика выручки по 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Анализ!$E$3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07FD-4809-BF82-6B03D7DECF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Анализ!$D$4:$D$16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Анализ!$E$4:$E$16</c:f>
              <c:numCache>
                <c:formatCode>#\ ##0\ "₽"</c:formatCode>
                <c:ptCount val="12"/>
                <c:pt idx="0">
                  <c:v>1292797</c:v>
                </c:pt>
                <c:pt idx="1">
                  <c:v>1389287.3</c:v>
                </c:pt>
                <c:pt idx="2">
                  <c:v>1456573.8</c:v>
                </c:pt>
                <c:pt idx="3">
                  <c:v>1523319</c:v>
                </c:pt>
                <c:pt idx="4">
                  <c:v>2109035</c:v>
                </c:pt>
                <c:pt idx="5">
                  <c:v>1588982.2</c:v>
                </c:pt>
                <c:pt idx="6">
                  <c:v>1945034</c:v>
                </c:pt>
                <c:pt idx="7">
                  <c:v>1587639.9000000001</c:v>
                </c:pt>
                <c:pt idx="8">
                  <c:v>2193722.9</c:v>
                </c:pt>
                <c:pt idx="9">
                  <c:v>2343845.8000000003</c:v>
                </c:pt>
                <c:pt idx="10">
                  <c:v>1621639.8</c:v>
                </c:pt>
                <c:pt idx="11">
                  <c:v>2424853.2999999998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D-4809-BF82-6B03D7DECF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002480"/>
        <c:axId val="133012560"/>
      </c:lineChart>
      <c:dateAx>
        <c:axId val="13300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6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12560"/>
        <c:crosses val="autoZero"/>
        <c:auto val="0"/>
        <c:lblOffset val="100"/>
        <c:baseTimeUnit val="days"/>
      </c:dateAx>
      <c:valAx>
        <c:axId val="133012560"/>
        <c:scaling>
          <c:orientation val="minMax"/>
        </c:scaling>
        <c:delete val="0"/>
        <c:axPos val="l"/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0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эффективности интернет-магазина.xlsx]Анализ!Сводная таблица5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Прибыль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Анализ!$A$4:$A$11</c:f>
              <c:strCache>
                <c:ptCount val="7"/>
                <c:pt idx="0">
                  <c:v>Аксессуары</c:v>
                </c:pt>
                <c:pt idx="1">
                  <c:v>Для дома</c:v>
                </c:pt>
                <c:pt idx="2">
                  <c:v>Книги</c:v>
                </c:pt>
                <c:pt idx="3">
                  <c:v>Обувь</c:v>
                </c:pt>
                <c:pt idx="4">
                  <c:v>Одежда</c:v>
                </c:pt>
                <c:pt idx="5">
                  <c:v>Спорт</c:v>
                </c:pt>
                <c:pt idx="6">
                  <c:v>Электроника</c:v>
                </c:pt>
              </c:strCache>
            </c:strRef>
          </c:cat>
          <c:val>
            <c:numRef>
              <c:f>Анализ!$B$4:$B$11</c:f>
              <c:numCache>
                <c:formatCode>#\ ##0\ "₽"</c:formatCode>
                <c:ptCount val="7"/>
                <c:pt idx="0">
                  <c:v>292058.8</c:v>
                </c:pt>
                <c:pt idx="1">
                  <c:v>1340000.5</c:v>
                </c:pt>
                <c:pt idx="2">
                  <c:v>22141.3</c:v>
                </c:pt>
                <c:pt idx="3">
                  <c:v>157755.79999999999</c:v>
                </c:pt>
                <c:pt idx="4">
                  <c:v>371121.30000000005</c:v>
                </c:pt>
                <c:pt idx="5">
                  <c:v>887165.1</c:v>
                </c:pt>
                <c:pt idx="6">
                  <c:v>3240637.1999999997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F-4DC6-9774-47889982E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36080"/>
        <c:axId val="133038960"/>
      </c:barChart>
      <c:catAx>
        <c:axId val="13303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38960"/>
        <c:crosses val="autoZero"/>
        <c:auto val="1"/>
        <c:lblAlgn val="ctr"/>
        <c:lblOffset val="100"/>
        <c:noMultiLvlLbl val="0"/>
      </c:catAx>
      <c:valAx>
        <c:axId val="133038960"/>
        <c:scaling>
          <c:orientation val="minMax"/>
        </c:scaling>
        <c:delete val="0"/>
        <c:axPos val="l"/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3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эффективности интернет-магазина.xlsx]Анализ!Сводная таблица6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Топ-5 товаров по прибыли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Анализ!$B$14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Анализ!$A$15:$A$20</c:f>
              <c:strCache>
                <c:ptCount val="5"/>
                <c:pt idx="0">
                  <c:v>Беговая дорожка</c:v>
                </c:pt>
                <c:pt idx="1">
                  <c:v>Ноутбук Lenovo IdeaPad</c:v>
                </c:pt>
                <c:pt idx="2">
                  <c:v>Кофемашина DeLonghi</c:v>
                </c:pt>
                <c:pt idx="3">
                  <c:v>Умные часы Apple Watch</c:v>
                </c:pt>
                <c:pt idx="4">
                  <c:v>Наушники Sony WH-1000XM5</c:v>
                </c:pt>
              </c:strCache>
            </c:strRef>
          </c:cat>
          <c:val>
            <c:numRef>
              <c:f>Анализ!$B$15:$B$20</c:f>
              <c:numCache>
                <c:formatCode>#\ ##0\ "₽"</c:formatCode>
                <c:ptCount val="5"/>
                <c:pt idx="0">
                  <c:v>887165.1</c:v>
                </c:pt>
                <c:pt idx="1">
                  <c:v>837338.70000000007</c:v>
                </c:pt>
                <c:pt idx="2">
                  <c:v>597430.79999999993</c:v>
                </c:pt>
                <c:pt idx="3">
                  <c:v>515743.2</c:v>
                </c:pt>
                <c:pt idx="4">
                  <c:v>507233.9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0-415A-9A86-C41FDE8EB5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3000560"/>
        <c:axId val="133008240"/>
      </c:barChart>
      <c:catAx>
        <c:axId val="13300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08240"/>
        <c:crosses val="autoZero"/>
        <c:auto val="1"/>
        <c:lblAlgn val="ctr"/>
        <c:lblOffset val="100"/>
        <c:noMultiLvlLbl val="0"/>
      </c:catAx>
      <c:valAx>
        <c:axId val="133008240"/>
        <c:scaling>
          <c:orientation val="minMax"/>
        </c:scaling>
        <c:delete val="0"/>
        <c:axPos val="b"/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00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13608</xdr:colOff>
      <xdr:row>9</xdr:row>
      <xdr:rowOff>26196</xdr:rowOff>
    </xdr:from>
    <xdr:to>
      <xdr:col>12</xdr:col>
      <xdr:colOff>11906</xdr:colOff>
      <xdr:row>30</xdr:row>
      <xdr:rowOff>27216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36E29F-09D2-4F75-9709-D73FF76F0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33335</xdr:colOff>
      <xdr:row>12</xdr:row>
      <xdr:rowOff>147636</xdr:rowOff>
    </xdr:from>
    <xdr:to>
      <xdr:col>28</xdr:col>
      <xdr:colOff>-1</xdr:colOff>
      <xdr:row>30</xdr:row>
      <xdr:rowOff>23813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EBC3A9B-D365-497F-941C-00BBE6E50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47624</xdr:colOff>
      <xdr:row>2</xdr:row>
      <xdr:rowOff>142878</xdr:rowOff>
    </xdr:from>
    <xdr:to>
      <xdr:col>27</xdr:col>
      <xdr:colOff>598715</xdr:colOff>
      <xdr:row>12</xdr:row>
      <xdr:rowOff>149679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8D7F593-7D70-4CE4-942C-03EFAE458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10209</xdr:colOff>
      <xdr:row>2</xdr:row>
      <xdr:rowOff>175535</xdr:rowOff>
    </xdr:from>
    <xdr:to>
      <xdr:col>12</xdr:col>
      <xdr:colOff>0</xdr:colOff>
      <xdr:row>9</xdr:row>
      <xdr:rowOff>13608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Дата">
              <a:extLst>
                <a:ext uri="{FF2B5EF4-FFF2-40B4-BE49-F238E27FC236}">
                  <a16:creationId xmlns:a16="http://schemas.microsoft.com/office/drawing/2014/main" id="{AFED09AF-C9AB-849E-BFC9-BCFA0683CB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Дат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7923" y="665392"/>
              <a:ext cx="5663970" cy="17975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27214</xdr:colOff>
      <xdr:row>2</xdr:row>
      <xdr:rowOff>166688</xdr:rowOff>
    </xdr:from>
    <xdr:to>
      <xdr:col>15</xdr:col>
      <xdr:colOff>48116</xdr:colOff>
      <xdr:row>12</xdr:row>
      <xdr:rowOff>140228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Категория">
              <a:extLst>
                <a:ext uri="{FF2B5EF4-FFF2-40B4-BE49-F238E27FC236}">
                  <a16:creationId xmlns:a16="http://schemas.microsoft.com/office/drawing/2014/main" id="{873C0C1D-58AC-4315-886C-6782FF77B8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9107" y="656545"/>
              <a:ext cx="1857866" cy="2286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урлыкина" refreshedDate="45997.922983449076" createdVersion="8" refreshedVersion="8" minRefreshableVersion="3" recordCount="500" xr:uid="{FC2FC176-F33C-4D25-A36B-69D9C897AE30}">
  <cacheSource type="worksheet">
    <worksheetSource name="ТаблицаПродажи"/>
  </cacheSource>
  <cacheFields count="13">
    <cacheField name="ID заказа" numFmtId="0">
      <sharedItems/>
    </cacheField>
    <cacheField name="Дата" numFmtId="14">
      <sharedItems containsSemiMixedTypes="0" containsNonDate="0" containsDate="1" containsString="0" minDate="2024-01-01T00:00:00" maxDate="2025-01-01T00:00:00" count="269">
        <d v="2024-11-16T00:00:00"/>
        <d v="2024-05-24T00:00:00"/>
        <d v="2024-09-21T00:00:00"/>
        <d v="2024-06-05T00:00:00"/>
        <d v="2024-09-02T00:00:00"/>
        <d v="2024-05-22T00:00:00"/>
        <d v="2024-08-29T00:00:00"/>
        <d v="2024-11-06T00:00:00"/>
        <d v="2024-11-07T00:00:00"/>
        <d v="2024-02-19T00:00:00"/>
        <d v="2024-10-03T00:00:00"/>
        <d v="2024-11-25T00:00:00"/>
        <d v="2024-02-14T00:00:00"/>
        <d v="2024-04-03T00:00:00"/>
        <d v="2024-08-28T00:00:00"/>
        <d v="2024-10-29T00:00:00"/>
        <d v="2024-12-25T00:00:00"/>
        <d v="2024-12-07T00:00:00"/>
        <d v="2024-07-21T00:00:00"/>
        <d v="2024-04-01T00:00:00"/>
        <d v="2024-04-26T00:00:00"/>
        <d v="2024-12-10T00:00:00"/>
        <d v="2024-06-02T00:00:00"/>
        <d v="2024-02-03T00:00:00"/>
        <d v="2024-08-08T00:00:00"/>
        <d v="2024-11-13T00:00:00"/>
        <d v="2024-09-17T00:00:00"/>
        <d v="2024-12-28T00:00:00"/>
        <d v="2024-09-25T00:00:00"/>
        <d v="2024-12-24T00:00:00"/>
        <d v="2024-04-02T00:00:00"/>
        <d v="2024-09-06T00:00:00"/>
        <d v="2024-04-29T00:00:00"/>
        <d v="2024-03-07T00:00:00"/>
        <d v="2024-09-01T00:00:00"/>
        <d v="2024-05-30T00:00:00"/>
        <d v="2024-12-17T00:00:00"/>
        <d v="2024-07-16T00:00:00"/>
        <d v="2024-08-31T00:00:00"/>
        <d v="2024-03-24T00:00:00"/>
        <d v="2024-12-27T00:00:00"/>
        <d v="2024-09-11T00:00:00"/>
        <d v="2024-04-16T00:00:00"/>
        <d v="2024-05-04T00:00:00"/>
        <d v="2024-10-14T00:00:00"/>
        <d v="2024-11-28T00:00:00"/>
        <d v="2024-05-14T00:00:00"/>
        <d v="2024-08-09T00:00:00"/>
        <d v="2024-03-18T00:00:00"/>
        <d v="2024-07-26T00:00:00"/>
        <d v="2024-06-28T00:00:00"/>
        <d v="2024-06-13T00:00:00"/>
        <d v="2024-12-29T00:00:00"/>
        <d v="2024-07-25T00:00:00"/>
        <d v="2024-01-28T00:00:00"/>
        <d v="2024-10-12T00:00:00"/>
        <d v="2024-09-27T00:00:00"/>
        <d v="2024-12-14T00:00:00"/>
        <d v="2024-10-23T00:00:00"/>
        <d v="2024-10-16T00:00:00"/>
        <d v="2024-03-17T00:00:00"/>
        <d v="2024-03-05T00:00:00"/>
        <d v="2024-12-31T00:00:00"/>
        <d v="2024-01-20T00:00:00"/>
        <d v="2024-08-19T00:00:00"/>
        <d v="2024-10-28T00:00:00"/>
        <d v="2024-02-29T00:00:00"/>
        <d v="2024-04-15T00:00:00"/>
        <d v="2024-12-26T00:00:00"/>
        <d v="2024-06-06T00:00:00"/>
        <d v="2024-06-07T00:00:00"/>
        <d v="2024-08-16T00:00:00"/>
        <d v="2024-02-09T00:00:00"/>
        <d v="2024-03-15T00:00:00"/>
        <d v="2024-01-11T00:00:00"/>
        <d v="2024-08-23T00:00:00"/>
        <d v="2024-11-02T00:00:00"/>
        <d v="2024-12-04T00:00:00"/>
        <d v="2024-06-24T00:00:00"/>
        <d v="2024-10-25T00:00:00"/>
        <d v="2024-03-12T00:00:00"/>
        <d v="2024-07-24T00:00:00"/>
        <d v="2024-12-05T00:00:00"/>
        <d v="2024-12-15T00:00:00"/>
        <d v="2024-08-24T00:00:00"/>
        <d v="2024-04-08T00:00:00"/>
        <d v="2024-12-06T00:00:00"/>
        <d v="2024-08-15T00:00:00"/>
        <d v="2024-05-15T00:00:00"/>
        <d v="2024-06-01T00:00:00"/>
        <d v="2024-09-26T00:00:00"/>
        <d v="2024-10-10T00:00:00"/>
        <d v="2024-06-14T00:00:00"/>
        <d v="2024-10-18T00:00:00"/>
        <d v="2024-09-04T00:00:00"/>
        <d v="2024-10-22T00:00:00"/>
        <d v="2024-04-30T00:00:00"/>
        <d v="2024-03-28T00:00:00"/>
        <d v="2024-09-16T00:00:00"/>
        <d v="2024-02-02T00:00:00"/>
        <d v="2024-03-23T00:00:00"/>
        <d v="2024-06-17T00:00:00"/>
        <d v="2024-10-15T00:00:00"/>
        <d v="2024-02-15T00:00:00"/>
        <d v="2024-07-02T00:00:00"/>
        <d v="2024-05-03T00:00:00"/>
        <d v="2024-05-23T00:00:00"/>
        <d v="2024-12-08T00:00:00"/>
        <d v="2024-06-18T00:00:00"/>
        <d v="2024-02-11T00:00:00"/>
        <d v="2024-03-29T00:00:00"/>
        <d v="2024-03-22T00:00:00"/>
        <d v="2024-12-19T00:00:00"/>
        <d v="2024-01-31T00:00:00"/>
        <d v="2024-01-16T00:00:00"/>
        <d v="2024-10-01T00:00:00"/>
        <d v="2024-09-30T00:00:00"/>
        <d v="2024-02-13T00:00:00"/>
        <d v="2024-10-31T00:00:00"/>
        <d v="2024-05-07T00:00:00"/>
        <d v="2024-07-20T00:00:00"/>
        <d v="2024-03-04T00:00:00"/>
        <d v="2024-12-16T00:00:00"/>
        <d v="2024-08-11T00:00:00"/>
        <d v="2024-01-03T00:00:00"/>
        <d v="2024-10-21T00:00:00"/>
        <d v="2024-06-09T00:00:00"/>
        <d v="2024-02-20T00:00:00"/>
        <d v="2024-02-28T00:00:00"/>
        <d v="2024-11-04T00:00:00"/>
        <d v="2024-01-29T00:00:00"/>
        <d v="2024-09-05T00:00:00"/>
        <d v="2024-11-20T00:00:00"/>
        <d v="2024-11-22T00:00:00"/>
        <d v="2024-01-21T00:00:00"/>
        <d v="2024-12-18T00:00:00"/>
        <d v="2024-07-15T00:00:00"/>
        <d v="2024-07-07T00:00:00"/>
        <d v="2024-09-09T00:00:00"/>
        <d v="2024-03-06T00:00:00"/>
        <d v="2024-05-01T00:00:00"/>
        <d v="2024-09-29T00:00:00"/>
        <d v="2024-05-28T00:00:00"/>
        <d v="2024-01-13T00:00:00"/>
        <d v="2024-01-07T00:00:00"/>
        <d v="2024-08-22T00:00:00"/>
        <d v="2024-05-20T00:00:00"/>
        <d v="2024-12-22T00:00:00"/>
        <d v="2024-07-14T00:00:00"/>
        <d v="2024-05-17T00:00:00"/>
        <d v="2024-08-20T00:00:00"/>
        <d v="2024-02-07T00:00:00"/>
        <d v="2024-09-15T00:00:00"/>
        <d v="2024-05-31T00:00:00"/>
        <d v="2024-11-08T00:00:00"/>
        <d v="2024-08-30T00:00:00"/>
        <d v="2024-02-23T00:00:00"/>
        <d v="2024-07-09T00:00:00"/>
        <d v="2024-06-10T00:00:00"/>
        <d v="2024-03-16T00:00:00"/>
        <d v="2024-12-02T00:00:00"/>
        <d v="2024-09-12T00:00:00"/>
        <d v="2024-07-29T00:00:00"/>
        <d v="2024-08-12T00:00:00"/>
        <d v="2024-05-29T00:00:00"/>
        <d v="2024-05-05T00:00:00"/>
        <d v="2024-07-06T00:00:00"/>
        <d v="2024-06-27T00:00:00"/>
        <d v="2024-06-04T00:00:00"/>
        <d v="2024-10-13T00:00:00"/>
        <d v="2024-03-14T00:00:00"/>
        <d v="2024-06-08T00:00:00"/>
        <d v="2024-03-30T00:00:00"/>
        <d v="2024-01-24T00:00:00"/>
        <d v="2024-10-26T00:00:00"/>
        <d v="2024-01-25T00:00:00"/>
        <d v="2024-10-27T00:00:00"/>
        <d v="2024-12-09T00:00:00"/>
        <d v="2024-09-08T00:00:00"/>
        <d v="2024-03-09T00:00:00"/>
        <d v="2024-08-18T00:00:00"/>
        <d v="2024-05-06T00:00:00"/>
        <d v="2024-07-10T00:00:00"/>
        <d v="2024-12-23T00:00:00"/>
        <d v="2024-03-08T00:00:00"/>
        <d v="2024-05-18T00:00:00"/>
        <d v="2024-05-25T00:00:00"/>
        <d v="2024-08-10T00:00:00"/>
        <d v="2024-02-08T00:00:00"/>
        <d v="2024-07-31T00:00:00"/>
        <d v="2024-04-13T00:00:00"/>
        <d v="2024-02-17T00:00:00"/>
        <d v="2024-10-30T00:00:00"/>
        <d v="2024-03-03T00:00:00"/>
        <d v="2024-04-23T00:00:00"/>
        <d v="2024-09-20T00:00:00"/>
        <d v="2024-01-10T00:00:00"/>
        <d v="2024-02-05T00:00:00"/>
        <d v="2024-02-25T00:00:00"/>
        <d v="2024-04-20T00:00:00"/>
        <d v="2024-05-11T00:00:00"/>
        <d v="2024-07-03T00:00:00"/>
        <d v="2024-08-25T00:00:00"/>
        <d v="2024-06-03T00:00:00"/>
        <d v="2024-11-05T00:00:00"/>
        <d v="2024-11-12T00:00:00"/>
        <d v="2024-02-01T00:00:00"/>
        <d v="2024-05-08T00:00:00"/>
        <d v="2024-03-10T00:00:00"/>
        <d v="2024-04-05T00:00:00"/>
        <d v="2024-10-05T00:00:00"/>
        <d v="2024-03-11T00:00:00"/>
        <d v="2024-06-30T00:00:00"/>
        <d v="2024-04-17T00:00:00"/>
        <d v="2024-08-17T00:00:00"/>
        <d v="2024-03-26T00:00:00"/>
        <d v="2024-01-22T00:00:00"/>
        <d v="2024-07-13T00:00:00"/>
        <d v="2024-06-15T00:00:00"/>
        <d v="2024-04-11T00:00:00"/>
        <d v="2024-05-21T00:00:00"/>
        <d v="2024-09-10T00:00:00"/>
        <d v="2024-12-12T00:00:00"/>
        <d v="2024-08-13T00:00:00"/>
        <d v="2024-11-18T00:00:00"/>
        <d v="2024-05-16T00:00:00"/>
        <d v="2024-09-22T00:00:00"/>
        <d v="2024-08-07T00:00:00"/>
        <d v="2024-10-20T00:00:00"/>
        <d v="2024-01-27T00:00:00"/>
        <d v="2024-12-30T00:00:00"/>
        <d v="2024-01-08T00:00:00"/>
        <d v="2024-03-25T00:00:00"/>
        <d v="2024-06-19T00:00:00"/>
        <d v="2024-11-26T00:00:00"/>
        <d v="2024-09-19T00:00:00"/>
        <d v="2024-05-26T00:00:00"/>
        <d v="2024-10-06T00:00:00"/>
        <d v="2024-11-15T00:00:00"/>
        <d v="2024-12-20T00:00:00"/>
        <d v="2024-01-26T00:00:00"/>
        <d v="2024-08-27T00:00:00"/>
        <d v="2024-03-27T00:00:00"/>
        <d v="2024-11-14T00:00:00"/>
        <d v="2024-04-06T00:00:00"/>
        <d v="2024-02-06T00:00:00"/>
        <d v="2024-07-27T00:00:00"/>
        <d v="2024-08-01T00:00:00"/>
        <d v="2024-01-17T00:00:00"/>
        <d v="2024-04-22T00:00:00"/>
        <d v="2024-05-10T00:00:00"/>
        <d v="2024-04-27T00:00:00"/>
        <d v="2024-07-04T00:00:00"/>
        <d v="2024-03-19T00:00:00"/>
        <d v="2024-09-28T00:00:00"/>
        <d v="2024-11-21T00:00:00"/>
        <d v="2024-11-23T00:00:00"/>
        <d v="2024-02-18T00:00:00"/>
        <d v="2024-02-27T00:00:00"/>
        <d v="2024-10-11T00:00:00"/>
        <d v="2024-02-24T00:00:00"/>
        <d v="2024-01-01T00:00:00"/>
        <d v="2024-07-01T00:00:00"/>
        <d v="2024-10-17T00:00:00"/>
        <d v="2024-03-20T00:00:00"/>
        <d v="2024-05-02T00:00:00"/>
        <d v="2024-07-28T00:00:00"/>
        <d v="2024-08-05T00:00:00"/>
        <d v="2024-11-10T00:00:00"/>
      </sharedItems>
      <fieldGroup par="12"/>
    </cacheField>
    <cacheField name="ID товара" numFmtId="0">
      <sharedItems/>
    </cacheField>
    <cacheField name="Название товара" numFmtId="0">
      <sharedItems count="20">
        <s v="Рюкзак туристический"/>
        <s v="Футболка хлопковая"/>
        <s v="Йогуртница"/>
        <s v="Кроссовки Nike Air Max"/>
        <s v="Смартфон Galaxy A54"/>
        <s v="Наушники Sony WH-1000XM5"/>
        <s v="Микрофон для стримов"/>
        <s v="Ноутбук Lenovo IdeaPad"/>
        <s v="Сумка кожаная женская"/>
        <s v="Чайник стеклянный"/>
        <s v="Беговая дорожка"/>
        <s v="Кресло офисное"/>
        <s v="Набор посуды 12 предметов"/>
        <s v="Книга &quot;Мастерство продаж&quot;"/>
        <s v="Умные часы Apple Watch"/>
        <s v="Кофемашина DeLonghi"/>
        <s v="Джинсы Levi's 501"/>
        <s v="Монитор 24&quot; Samsung"/>
        <s v="Куртка зимняя North Face"/>
        <s v="Планшет iPad 10.2&quot;"/>
      </sharedItems>
    </cacheField>
    <cacheField name="Категория" numFmtId="165">
      <sharedItems count="7">
        <s v="Аксессуары"/>
        <s v="Одежда"/>
        <s v="Для дома"/>
        <s v="Обувь"/>
        <s v="Электроника"/>
        <s v="Спорт"/>
        <s v="Книги"/>
      </sharedItems>
    </cacheField>
    <cacheField name="Кол во" numFmtId="0">
      <sharedItems containsSemiMixedTypes="0" containsString="0" containsNumber="1" containsInteger="1" minValue="1" maxValue="3"/>
    </cacheField>
    <cacheField name="Цена за ед" numFmtId="164">
      <sharedItems containsSemiMixedTypes="0" containsString="0" containsNumber="1" containsInteger="1" minValue="890" maxValue="79990"/>
    </cacheField>
    <cacheField name="Скидка %" numFmtId="9">
      <sharedItems containsSemiMixedTypes="0" containsString="0" containsNumber="1" minValue="0" maxValue="0.15"/>
    </cacheField>
    <cacheField name="Выручка" numFmtId="164">
      <sharedItems containsSemiMixedTypes="0" containsString="0" containsNumber="1" minValue="756.5" maxValue="239970"/>
    </cacheField>
    <cacheField name="Прибыль" numFmtId="164">
      <sharedItems containsSemiMixedTypes="0" containsString="0" containsNumber="1" minValue="306.5" maxValue="63270"/>
    </cacheField>
    <cacheField name="Маржа %" numFmtId="165">
      <sharedItems containsSemiMixedTypes="0" containsString="0" containsNumber="1" minValue="0.15013793914987644" maxValue="0.64646464646464652"/>
    </cacheField>
    <cacheField name="Дни (Дата)" numFmtId="0" databaseField="0">
      <fieldGroup base="1">
        <rangePr groupBy="days" startDate="2024-01-01T00:00:00" endDate="2025-01-01T00:00:00"/>
        <groupItems count="368">
          <s v="&lt;01.01.2024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1.2025"/>
        </groupItems>
      </fieldGroup>
    </cacheField>
    <cacheField name="Месяцы (Дата)" numFmtId="0" databaseField="0">
      <fieldGroup base="1">
        <rangePr groupBy="months" startDate="2024-01-01T00:00:00" endDate="2025-01-01T00:00:00"/>
        <groupItems count="14">
          <s v="&lt;01.01.202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5"/>
        </groupItems>
      </fieldGroup>
    </cacheField>
  </cacheFields>
  <extLst>
    <ext xmlns:x14="http://schemas.microsoft.com/office/spreadsheetml/2009/9/main" uri="{725AE2AE-9491-48be-B2B4-4EB974FC3084}">
      <x14:pivotCacheDefinition pivotCacheId="2190110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З-0001"/>
    <x v="0"/>
    <s v="Т-012"/>
    <x v="0"/>
    <x v="0"/>
    <n v="1"/>
    <n v="3490"/>
    <n v="0"/>
    <n v="3490"/>
    <n v="1690"/>
    <n v="0.48424068767908307"/>
  </r>
  <r>
    <s v="З-0002"/>
    <x v="1"/>
    <s v="Т-009"/>
    <x v="1"/>
    <x v="1"/>
    <n v="2"/>
    <n v="990"/>
    <n v="0"/>
    <n v="1980"/>
    <n v="1280"/>
    <n v="0.64646464646464652"/>
  </r>
  <r>
    <s v="З-0003"/>
    <x v="2"/>
    <s v="Т-020"/>
    <x v="2"/>
    <x v="2"/>
    <n v="2"/>
    <n v="4990"/>
    <n v="0"/>
    <n v="9980"/>
    <n v="3580"/>
    <n v="0.3587174348697395"/>
  </r>
  <r>
    <s v="З-0004"/>
    <x v="3"/>
    <s v="Т-012"/>
    <x v="0"/>
    <x v="0"/>
    <n v="1"/>
    <n v="3490"/>
    <n v="0"/>
    <n v="3490"/>
    <n v="1690"/>
    <n v="0.48424068767908307"/>
  </r>
  <r>
    <s v="З-0005"/>
    <x v="4"/>
    <s v="Т-009"/>
    <x v="1"/>
    <x v="1"/>
    <n v="3"/>
    <n v="990"/>
    <n v="0"/>
    <n v="2970"/>
    <n v="1920"/>
    <n v="0.64646464646464652"/>
  </r>
  <r>
    <s v="З-0006"/>
    <x v="5"/>
    <s v="Т-006"/>
    <x v="3"/>
    <x v="3"/>
    <n v="1"/>
    <n v="8990"/>
    <n v="0"/>
    <n v="8990"/>
    <n v="3790"/>
    <n v="0.42157953281423804"/>
  </r>
  <r>
    <s v="З-0007"/>
    <x v="6"/>
    <s v="Т-009"/>
    <x v="1"/>
    <x v="1"/>
    <n v="3"/>
    <n v="990"/>
    <n v="0"/>
    <n v="2970"/>
    <n v="1920"/>
    <n v="0.64646464646464652"/>
  </r>
  <r>
    <s v="З-0008"/>
    <x v="7"/>
    <s v="Т-001"/>
    <x v="4"/>
    <x v="4"/>
    <n v="1"/>
    <n v="29990"/>
    <n v="0"/>
    <n v="29990"/>
    <n v="8490"/>
    <n v="0.28309436478826278"/>
  </r>
  <r>
    <s v="З-0009"/>
    <x v="8"/>
    <s v="Т-002"/>
    <x v="5"/>
    <x v="4"/>
    <n v="3"/>
    <n v="26990"/>
    <n v="0"/>
    <n v="80970"/>
    <n v="24270"/>
    <n v="0.29974064468321598"/>
  </r>
  <r>
    <s v="З-0010"/>
    <x v="9"/>
    <s v="Т-019"/>
    <x v="6"/>
    <x v="4"/>
    <n v="1"/>
    <n v="12990"/>
    <n v="0.08"/>
    <n v="11950.800000000001"/>
    <n v="3050.8000000000011"/>
    <n v="0.25527998125648499"/>
  </r>
  <r>
    <s v="З-0011"/>
    <x v="10"/>
    <s v="Т-020"/>
    <x v="2"/>
    <x v="2"/>
    <n v="1"/>
    <n v="4990"/>
    <n v="0.09"/>
    <n v="4540.9000000000005"/>
    <n v="1340.9000000000005"/>
    <n v="0.29529388447224125"/>
  </r>
  <r>
    <s v="З-0012"/>
    <x v="11"/>
    <s v="Т-019"/>
    <x v="6"/>
    <x v="4"/>
    <n v="2"/>
    <n v="12990"/>
    <n v="0.1"/>
    <n v="23382"/>
    <n v="5582"/>
    <n v="0.23873064750662903"/>
  </r>
  <r>
    <s v="З-0013"/>
    <x v="12"/>
    <s v="Т-009"/>
    <x v="1"/>
    <x v="1"/>
    <n v="1"/>
    <n v="990"/>
    <n v="0"/>
    <n v="990"/>
    <n v="640"/>
    <n v="0.64646464646464652"/>
  </r>
  <r>
    <s v="З-0014"/>
    <x v="13"/>
    <s v="Т-007"/>
    <x v="7"/>
    <x v="4"/>
    <n v="3"/>
    <n v="64990"/>
    <n v="0"/>
    <n v="194970"/>
    <n v="51570"/>
    <n v="0.26450223111247884"/>
  </r>
  <r>
    <s v="З-0015"/>
    <x v="14"/>
    <s v="Т-018"/>
    <x v="8"/>
    <x v="0"/>
    <n v="2"/>
    <n v="7590"/>
    <n v="0"/>
    <n v="15180"/>
    <n v="6780"/>
    <n v="0.44664031620553357"/>
  </r>
  <r>
    <s v="З-0016"/>
    <x v="0"/>
    <s v="Т-008"/>
    <x v="9"/>
    <x v="2"/>
    <n v="3"/>
    <n v="2490"/>
    <n v="0"/>
    <n v="7470"/>
    <n v="3870"/>
    <n v="0.51807228915662651"/>
  </r>
  <r>
    <s v="З-0017"/>
    <x v="15"/>
    <s v="Т-006"/>
    <x v="3"/>
    <x v="3"/>
    <n v="2"/>
    <n v="8990"/>
    <n v="0"/>
    <n v="17980"/>
    <n v="7580"/>
    <n v="0.42157953281423804"/>
  </r>
  <r>
    <s v="З-0018"/>
    <x v="16"/>
    <s v="Т-012"/>
    <x v="0"/>
    <x v="0"/>
    <n v="3"/>
    <n v="3490"/>
    <n v="0"/>
    <n v="10470"/>
    <n v="5070"/>
    <n v="0.48424068767908307"/>
  </r>
  <r>
    <s v="З-0019"/>
    <x v="17"/>
    <s v="Т-017"/>
    <x v="10"/>
    <x v="5"/>
    <n v="3"/>
    <n v="79990"/>
    <n v="0"/>
    <n v="239970"/>
    <n v="63270"/>
    <n v="0.26365795724465557"/>
  </r>
  <r>
    <s v="З-0020"/>
    <x v="18"/>
    <s v="Т-008"/>
    <x v="9"/>
    <x v="2"/>
    <n v="1"/>
    <n v="2490"/>
    <n v="0"/>
    <n v="2490"/>
    <n v="1290"/>
    <n v="0.51807228915662651"/>
  </r>
  <r>
    <s v="З-0021"/>
    <x v="19"/>
    <s v="Т-006"/>
    <x v="3"/>
    <x v="3"/>
    <n v="2"/>
    <n v="8990"/>
    <n v="0"/>
    <n v="17980"/>
    <n v="7580"/>
    <n v="0.42157953281423804"/>
  </r>
  <r>
    <s v="З-0022"/>
    <x v="20"/>
    <s v="Т-018"/>
    <x v="8"/>
    <x v="0"/>
    <n v="2"/>
    <n v="7590"/>
    <n v="0"/>
    <n v="15180"/>
    <n v="6780"/>
    <n v="0.44664031620553357"/>
  </r>
  <r>
    <s v="З-0023"/>
    <x v="21"/>
    <s v="Т-011"/>
    <x v="11"/>
    <x v="2"/>
    <n v="3"/>
    <n v="21990"/>
    <n v="0"/>
    <n v="65970"/>
    <n v="22470"/>
    <n v="0.34060936789449747"/>
  </r>
  <r>
    <s v="З-0024"/>
    <x v="22"/>
    <s v="Т-001"/>
    <x v="4"/>
    <x v="4"/>
    <n v="3"/>
    <n v="29990"/>
    <n v="0"/>
    <n v="89970"/>
    <n v="25470"/>
    <n v="0.28309436478826278"/>
  </r>
  <r>
    <s v="З-0025"/>
    <x v="23"/>
    <s v="Т-002"/>
    <x v="5"/>
    <x v="4"/>
    <n v="2"/>
    <n v="26990"/>
    <n v="0"/>
    <n v="53980"/>
    <n v="16180"/>
    <n v="0.29974064468321598"/>
  </r>
  <r>
    <s v="З-0026"/>
    <x v="24"/>
    <s v="Т-019"/>
    <x v="6"/>
    <x v="4"/>
    <n v="3"/>
    <n v="12990"/>
    <n v="0"/>
    <n v="38970"/>
    <n v="12270"/>
    <n v="0.31485758275596615"/>
  </r>
  <r>
    <s v="З-0027"/>
    <x v="20"/>
    <s v="Т-018"/>
    <x v="8"/>
    <x v="0"/>
    <n v="3"/>
    <n v="7590"/>
    <n v="0"/>
    <n v="22770"/>
    <n v="10170"/>
    <n v="0.44664031620553357"/>
  </r>
  <r>
    <s v="З-0028"/>
    <x v="25"/>
    <s v="Т-020"/>
    <x v="2"/>
    <x v="2"/>
    <n v="1"/>
    <n v="4990"/>
    <n v="0"/>
    <n v="4990"/>
    <n v="1790"/>
    <n v="0.3587174348697395"/>
  </r>
  <r>
    <s v="З-0029"/>
    <x v="12"/>
    <s v="Т-014"/>
    <x v="12"/>
    <x v="2"/>
    <n v="1"/>
    <n v="14990"/>
    <n v="0.13"/>
    <n v="13041.3"/>
    <n v="4441.2999999999993"/>
    <n v="0.34055653960878129"/>
  </r>
  <r>
    <s v="З-0030"/>
    <x v="26"/>
    <s v="Т-003"/>
    <x v="13"/>
    <x v="6"/>
    <n v="3"/>
    <n v="890"/>
    <n v="0"/>
    <n v="2670"/>
    <n v="1320"/>
    <n v="0.4943820224719101"/>
  </r>
  <r>
    <s v="З-0031"/>
    <x v="27"/>
    <s v="Т-013"/>
    <x v="14"/>
    <x v="4"/>
    <n v="2"/>
    <n v="39990"/>
    <n v="0"/>
    <n v="79980"/>
    <n v="22980"/>
    <n v="0.28732183045761439"/>
  </r>
  <r>
    <s v="З-0032"/>
    <x v="28"/>
    <s v="Т-006"/>
    <x v="3"/>
    <x v="3"/>
    <n v="1"/>
    <n v="8990"/>
    <n v="0"/>
    <n v="8990"/>
    <n v="3790"/>
    <n v="0.42157953281423804"/>
  </r>
  <r>
    <s v="З-0033"/>
    <x v="29"/>
    <s v="Т-003"/>
    <x v="13"/>
    <x v="6"/>
    <n v="3"/>
    <n v="890"/>
    <n v="0"/>
    <n v="2670"/>
    <n v="1320"/>
    <n v="0.4943820224719101"/>
  </r>
  <r>
    <s v="З-0034"/>
    <x v="30"/>
    <s v="Т-006"/>
    <x v="3"/>
    <x v="3"/>
    <n v="3"/>
    <n v="8990"/>
    <n v="0"/>
    <n v="26970"/>
    <n v="11370"/>
    <n v="0.42157953281423804"/>
  </r>
  <r>
    <s v="З-0035"/>
    <x v="31"/>
    <s v="Т-014"/>
    <x v="12"/>
    <x v="2"/>
    <n v="2"/>
    <n v="14990"/>
    <n v="0.06"/>
    <n v="28181.199999999997"/>
    <n v="10981.199999999997"/>
    <n v="0.38966403134004224"/>
  </r>
  <r>
    <s v="З-0036"/>
    <x v="32"/>
    <s v="Т-003"/>
    <x v="13"/>
    <x v="6"/>
    <n v="3"/>
    <n v="890"/>
    <n v="0"/>
    <n v="2670"/>
    <n v="1320"/>
    <n v="0.4943820224719101"/>
  </r>
  <r>
    <s v="З-0037"/>
    <x v="33"/>
    <s v="Т-011"/>
    <x v="11"/>
    <x v="2"/>
    <n v="3"/>
    <n v="21990"/>
    <n v="0"/>
    <n v="65970"/>
    <n v="22470"/>
    <n v="0.34060936789449747"/>
  </r>
  <r>
    <s v="З-0038"/>
    <x v="34"/>
    <s v="Т-005"/>
    <x v="15"/>
    <x v="2"/>
    <n v="1"/>
    <n v="45990"/>
    <n v="0"/>
    <n v="45990"/>
    <n v="13590"/>
    <n v="0.29549902152641877"/>
  </r>
  <r>
    <s v="З-0039"/>
    <x v="35"/>
    <s v="Т-002"/>
    <x v="5"/>
    <x v="4"/>
    <n v="1"/>
    <n v="26990"/>
    <n v="0"/>
    <n v="26990"/>
    <n v="8090"/>
    <n v="0.29974064468321598"/>
  </r>
  <r>
    <s v="З-0040"/>
    <x v="36"/>
    <s v="Т-014"/>
    <x v="12"/>
    <x v="2"/>
    <n v="2"/>
    <n v="14990"/>
    <n v="0.09"/>
    <n v="27281.8"/>
    <n v="10081.799999999999"/>
    <n v="0.36954306534026343"/>
  </r>
  <r>
    <s v="З-0041"/>
    <x v="37"/>
    <s v="Т-008"/>
    <x v="9"/>
    <x v="2"/>
    <n v="2"/>
    <n v="2490"/>
    <n v="0"/>
    <n v="4980"/>
    <n v="2580"/>
    <n v="0.51807228915662651"/>
  </r>
  <r>
    <s v="З-0042"/>
    <x v="38"/>
    <s v="Т-018"/>
    <x v="8"/>
    <x v="0"/>
    <n v="1"/>
    <n v="7590"/>
    <n v="0"/>
    <n v="7590"/>
    <n v="3390"/>
    <n v="0.44664031620553357"/>
  </r>
  <r>
    <s v="З-0043"/>
    <x v="39"/>
    <s v="Т-007"/>
    <x v="7"/>
    <x v="4"/>
    <n v="1"/>
    <n v="64990"/>
    <n v="0.08"/>
    <n v="59790.8"/>
    <n v="11990.800000000003"/>
    <n v="0.20054590338312922"/>
  </r>
  <r>
    <s v="З-0044"/>
    <x v="40"/>
    <s v="Т-009"/>
    <x v="1"/>
    <x v="1"/>
    <n v="2"/>
    <n v="990"/>
    <n v="0"/>
    <n v="1980"/>
    <n v="1280"/>
    <n v="0.64646464646464652"/>
  </r>
  <r>
    <s v="З-0045"/>
    <x v="41"/>
    <s v="Т-015"/>
    <x v="16"/>
    <x v="1"/>
    <n v="2"/>
    <n v="5990"/>
    <n v="0.08"/>
    <n v="11021.6"/>
    <n v="5221.6000000000004"/>
    <n v="0.47376061551861798"/>
  </r>
  <r>
    <s v="З-0046"/>
    <x v="42"/>
    <s v="Т-001"/>
    <x v="4"/>
    <x v="4"/>
    <n v="1"/>
    <n v="29990"/>
    <n v="0"/>
    <n v="29990"/>
    <n v="8490"/>
    <n v="0.28309436478826278"/>
  </r>
  <r>
    <s v="З-0047"/>
    <x v="43"/>
    <s v="Т-001"/>
    <x v="4"/>
    <x v="4"/>
    <n v="3"/>
    <n v="29990"/>
    <n v="0"/>
    <n v="89970"/>
    <n v="25470"/>
    <n v="0.28309436478826278"/>
  </r>
  <r>
    <s v="З-0048"/>
    <x v="44"/>
    <s v="Т-017"/>
    <x v="10"/>
    <x v="5"/>
    <n v="1"/>
    <n v="79990"/>
    <n v="0"/>
    <n v="79990"/>
    <n v="21090"/>
    <n v="0.26365795724465557"/>
  </r>
  <r>
    <s v="З-0049"/>
    <x v="45"/>
    <s v="Т-014"/>
    <x v="12"/>
    <x v="2"/>
    <n v="2"/>
    <n v="14990"/>
    <n v="0.14000000000000001"/>
    <n v="25782.799999999999"/>
    <n v="8582.7999999999993"/>
    <n v="0.33288859239492996"/>
  </r>
  <r>
    <s v="З-0050"/>
    <x v="46"/>
    <s v="Т-007"/>
    <x v="7"/>
    <x v="4"/>
    <n v="2"/>
    <n v="64990"/>
    <n v="0"/>
    <n v="129980"/>
    <n v="34380"/>
    <n v="0.26450223111247884"/>
  </r>
  <r>
    <s v="З-0051"/>
    <x v="47"/>
    <s v="Т-007"/>
    <x v="7"/>
    <x v="4"/>
    <n v="2"/>
    <n v="64990"/>
    <n v="0"/>
    <n v="129980"/>
    <n v="34380"/>
    <n v="0.26450223111247884"/>
  </r>
  <r>
    <s v="З-0052"/>
    <x v="3"/>
    <s v="Т-005"/>
    <x v="15"/>
    <x v="2"/>
    <n v="1"/>
    <n v="45990"/>
    <n v="0.09"/>
    <n v="41850.9"/>
    <n v="9450.9000000000015"/>
    <n v="0.22582310057848221"/>
  </r>
  <r>
    <s v="З-0053"/>
    <x v="48"/>
    <s v="Т-019"/>
    <x v="6"/>
    <x v="4"/>
    <n v="3"/>
    <n v="12990"/>
    <n v="0"/>
    <n v="38970"/>
    <n v="12270"/>
    <n v="0.31485758275596615"/>
  </r>
  <r>
    <s v="З-0054"/>
    <x v="49"/>
    <s v="Т-019"/>
    <x v="6"/>
    <x v="4"/>
    <n v="3"/>
    <n v="12990"/>
    <n v="0"/>
    <n v="38970"/>
    <n v="12270"/>
    <n v="0.31485758275596615"/>
  </r>
  <r>
    <s v="З-0055"/>
    <x v="3"/>
    <s v="Т-005"/>
    <x v="15"/>
    <x v="2"/>
    <n v="3"/>
    <n v="45990"/>
    <n v="0.05"/>
    <n v="131071.5"/>
    <n v="33871.5"/>
    <n v="0.25842002265938818"/>
  </r>
  <r>
    <s v="З-0056"/>
    <x v="50"/>
    <s v="Т-015"/>
    <x v="16"/>
    <x v="1"/>
    <n v="3"/>
    <n v="5990"/>
    <n v="0"/>
    <n v="17970"/>
    <n v="9270"/>
    <n v="0.5158597662771286"/>
  </r>
  <r>
    <s v="З-0057"/>
    <x v="51"/>
    <s v="Т-006"/>
    <x v="3"/>
    <x v="3"/>
    <n v="3"/>
    <n v="8990"/>
    <n v="0"/>
    <n v="26970"/>
    <n v="11370"/>
    <n v="0.42157953281423804"/>
  </r>
  <r>
    <s v="З-0058"/>
    <x v="52"/>
    <s v="Т-010"/>
    <x v="17"/>
    <x v="4"/>
    <n v="1"/>
    <n v="18990"/>
    <n v="0"/>
    <n v="18990"/>
    <n v="5790"/>
    <n v="0.30489731437598738"/>
  </r>
  <r>
    <s v="З-0059"/>
    <x v="53"/>
    <s v="Т-015"/>
    <x v="16"/>
    <x v="1"/>
    <n v="3"/>
    <n v="5990"/>
    <n v="0"/>
    <n v="17970"/>
    <n v="9270"/>
    <n v="0.5158597662771286"/>
  </r>
  <r>
    <s v="З-0060"/>
    <x v="54"/>
    <s v="Т-004"/>
    <x v="18"/>
    <x v="1"/>
    <n v="1"/>
    <n v="12990"/>
    <n v="0"/>
    <n v="12990"/>
    <n v="5490"/>
    <n v="0.42263279445727481"/>
  </r>
  <r>
    <s v="З-0061"/>
    <x v="55"/>
    <s v="Т-004"/>
    <x v="18"/>
    <x v="1"/>
    <n v="3"/>
    <n v="12990"/>
    <n v="0"/>
    <n v="38970"/>
    <n v="16470"/>
    <n v="0.42263279445727481"/>
  </r>
  <r>
    <s v="З-0062"/>
    <x v="56"/>
    <s v="Т-010"/>
    <x v="17"/>
    <x v="4"/>
    <n v="2"/>
    <n v="18990"/>
    <n v="0"/>
    <n v="37980"/>
    <n v="11580"/>
    <n v="0.30489731437598738"/>
  </r>
  <r>
    <s v="З-0063"/>
    <x v="17"/>
    <s v="Т-018"/>
    <x v="8"/>
    <x v="0"/>
    <n v="3"/>
    <n v="7590"/>
    <n v="0"/>
    <n v="22770"/>
    <n v="10170"/>
    <n v="0.44664031620553357"/>
  </r>
  <r>
    <s v="З-0064"/>
    <x v="57"/>
    <s v="Т-005"/>
    <x v="15"/>
    <x v="2"/>
    <n v="1"/>
    <n v="45990"/>
    <n v="0.1"/>
    <n v="41391"/>
    <n v="8991"/>
    <n v="0.2172211350293542"/>
  </r>
  <r>
    <s v="З-0065"/>
    <x v="58"/>
    <s v="Т-011"/>
    <x v="11"/>
    <x v="2"/>
    <n v="1"/>
    <n v="21990"/>
    <n v="0.05"/>
    <n v="20890.5"/>
    <n v="6390.5"/>
    <n v="0.30590459778368156"/>
  </r>
  <r>
    <s v="З-0066"/>
    <x v="41"/>
    <s v="Т-014"/>
    <x v="12"/>
    <x v="2"/>
    <n v="1"/>
    <n v="14990"/>
    <n v="0"/>
    <n v="14990"/>
    <n v="6390"/>
    <n v="0.42628418945963975"/>
  </r>
  <r>
    <s v="З-0067"/>
    <x v="59"/>
    <s v="Т-002"/>
    <x v="5"/>
    <x v="4"/>
    <n v="2"/>
    <n v="26990"/>
    <n v="0"/>
    <n v="53980"/>
    <n v="16180"/>
    <n v="0.29974064468321598"/>
  </r>
  <r>
    <s v="З-0068"/>
    <x v="60"/>
    <s v="Т-001"/>
    <x v="4"/>
    <x v="4"/>
    <n v="1"/>
    <n v="29990"/>
    <n v="0"/>
    <n v="29990"/>
    <n v="8490"/>
    <n v="0.28309436478826278"/>
  </r>
  <r>
    <s v="З-0069"/>
    <x v="61"/>
    <s v="Т-017"/>
    <x v="10"/>
    <x v="5"/>
    <n v="1"/>
    <n v="79990"/>
    <n v="0"/>
    <n v="79990"/>
    <n v="21090"/>
    <n v="0.26365795724465557"/>
  </r>
  <r>
    <s v="З-0070"/>
    <x v="62"/>
    <s v="Т-011"/>
    <x v="11"/>
    <x v="2"/>
    <n v="3"/>
    <n v="21990"/>
    <n v="0"/>
    <n v="65970"/>
    <n v="22470"/>
    <n v="0.34060936789449747"/>
  </r>
  <r>
    <s v="З-0071"/>
    <x v="63"/>
    <s v="Т-018"/>
    <x v="8"/>
    <x v="0"/>
    <n v="2"/>
    <n v="7590"/>
    <n v="0"/>
    <n v="15180"/>
    <n v="6780"/>
    <n v="0.44664031620553357"/>
  </r>
  <r>
    <s v="З-0072"/>
    <x v="64"/>
    <s v="Т-015"/>
    <x v="16"/>
    <x v="1"/>
    <n v="1"/>
    <n v="5990"/>
    <n v="0"/>
    <n v="5990"/>
    <n v="3090"/>
    <n v="0.5158597662771286"/>
  </r>
  <r>
    <s v="З-0073"/>
    <x v="65"/>
    <s v="Т-008"/>
    <x v="9"/>
    <x v="2"/>
    <n v="3"/>
    <n v="2490"/>
    <n v="0"/>
    <n v="7470"/>
    <n v="3870"/>
    <n v="0.51807228915662651"/>
  </r>
  <r>
    <s v="З-0074"/>
    <x v="66"/>
    <s v="Т-006"/>
    <x v="3"/>
    <x v="3"/>
    <n v="1"/>
    <n v="8990"/>
    <n v="0.08"/>
    <n v="8270.8000000000011"/>
    <n v="3070.8000000000011"/>
    <n v="0.37128210088504143"/>
  </r>
  <r>
    <s v="З-0075"/>
    <x v="67"/>
    <s v="Т-006"/>
    <x v="3"/>
    <x v="3"/>
    <n v="2"/>
    <n v="8990"/>
    <n v="0"/>
    <n v="17980"/>
    <n v="7580"/>
    <n v="0.42157953281423804"/>
  </r>
  <r>
    <s v="З-0076"/>
    <x v="68"/>
    <s v="Т-011"/>
    <x v="11"/>
    <x v="2"/>
    <n v="1"/>
    <n v="21990"/>
    <n v="0"/>
    <n v="21990"/>
    <n v="7490"/>
    <n v="0.34060936789449747"/>
  </r>
  <r>
    <s v="З-0077"/>
    <x v="69"/>
    <s v="Т-004"/>
    <x v="18"/>
    <x v="1"/>
    <n v="2"/>
    <n v="12990"/>
    <n v="0"/>
    <n v="25980"/>
    <n v="10980"/>
    <n v="0.42263279445727481"/>
  </r>
  <r>
    <s v="З-0078"/>
    <x v="70"/>
    <s v="Т-012"/>
    <x v="0"/>
    <x v="0"/>
    <n v="2"/>
    <n v="3490"/>
    <n v="0"/>
    <n v="6980"/>
    <n v="3380"/>
    <n v="0.48424068767908307"/>
  </r>
  <r>
    <s v="З-0079"/>
    <x v="63"/>
    <s v="Т-018"/>
    <x v="8"/>
    <x v="0"/>
    <n v="3"/>
    <n v="7590"/>
    <n v="0"/>
    <n v="22770"/>
    <n v="10170"/>
    <n v="0.44664031620553357"/>
  </r>
  <r>
    <s v="З-0080"/>
    <x v="71"/>
    <s v="Т-012"/>
    <x v="0"/>
    <x v="0"/>
    <n v="1"/>
    <n v="3490"/>
    <n v="0"/>
    <n v="3490"/>
    <n v="1690"/>
    <n v="0.48424068767908307"/>
  </r>
  <r>
    <s v="З-0081"/>
    <x v="72"/>
    <s v="Т-008"/>
    <x v="9"/>
    <x v="2"/>
    <n v="1"/>
    <n v="2490"/>
    <n v="0"/>
    <n v="2490"/>
    <n v="1290"/>
    <n v="0.51807228915662651"/>
  </r>
  <r>
    <s v="З-0082"/>
    <x v="73"/>
    <s v="Т-010"/>
    <x v="17"/>
    <x v="4"/>
    <n v="2"/>
    <n v="18990"/>
    <n v="7.0000000000000007E-2"/>
    <n v="35321.399999999994"/>
    <n v="8921.3999999999942"/>
    <n v="0.25257775739353466"/>
  </r>
  <r>
    <s v="З-0083"/>
    <x v="74"/>
    <s v="Т-004"/>
    <x v="18"/>
    <x v="1"/>
    <n v="2"/>
    <n v="12990"/>
    <n v="0"/>
    <n v="25980"/>
    <n v="10980"/>
    <n v="0.42263279445727481"/>
  </r>
  <r>
    <s v="З-0084"/>
    <x v="75"/>
    <s v="Т-002"/>
    <x v="5"/>
    <x v="4"/>
    <n v="1"/>
    <n v="26990"/>
    <n v="0"/>
    <n v="26990"/>
    <n v="8090"/>
    <n v="0.29974064468321598"/>
  </r>
  <r>
    <s v="З-0085"/>
    <x v="76"/>
    <s v="Т-003"/>
    <x v="13"/>
    <x v="6"/>
    <n v="1"/>
    <n v="890"/>
    <n v="0"/>
    <n v="890"/>
    <n v="440"/>
    <n v="0.4943820224719101"/>
  </r>
  <r>
    <s v="З-0086"/>
    <x v="77"/>
    <s v="Т-017"/>
    <x v="10"/>
    <x v="5"/>
    <n v="1"/>
    <n v="79990"/>
    <n v="0"/>
    <n v="79990"/>
    <n v="21090"/>
    <n v="0.26365795724465557"/>
  </r>
  <r>
    <s v="З-0087"/>
    <x v="78"/>
    <s v="Т-001"/>
    <x v="4"/>
    <x v="4"/>
    <n v="1"/>
    <n v="29990"/>
    <n v="0"/>
    <n v="29990"/>
    <n v="8490"/>
    <n v="0.28309436478826278"/>
  </r>
  <r>
    <s v="З-0088"/>
    <x v="79"/>
    <s v="Т-010"/>
    <x v="17"/>
    <x v="4"/>
    <n v="2"/>
    <n v="18990"/>
    <n v="0"/>
    <n v="37980"/>
    <n v="11580"/>
    <n v="0.30489731437598738"/>
  </r>
  <r>
    <s v="З-0089"/>
    <x v="80"/>
    <s v="Т-018"/>
    <x v="8"/>
    <x v="0"/>
    <n v="2"/>
    <n v="7590"/>
    <n v="0"/>
    <n v="15180"/>
    <n v="6780"/>
    <n v="0.44664031620553357"/>
  </r>
  <r>
    <s v="З-0090"/>
    <x v="81"/>
    <s v="Т-016"/>
    <x v="19"/>
    <x v="4"/>
    <n v="1"/>
    <n v="44990"/>
    <n v="0"/>
    <n v="44990"/>
    <n v="12490"/>
    <n v="0.27761724827739498"/>
  </r>
  <r>
    <s v="З-0091"/>
    <x v="81"/>
    <s v="Т-020"/>
    <x v="2"/>
    <x v="2"/>
    <n v="1"/>
    <n v="4990"/>
    <n v="0"/>
    <n v="4990"/>
    <n v="1790"/>
    <n v="0.3587174348697395"/>
  </r>
  <r>
    <s v="З-0092"/>
    <x v="52"/>
    <s v="Т-009"/>
    <x v="1"/>
    <x v="1"/>
    <n v="2"/>
    <n v="990"/>
    <n v="0"/>
    <n v="1980"/>
    <n v="1280"/>
    <n v="0.64646464646464652"/>
  </r>
  <r>
    <s v="З-0093"/>
    <x v="82"/>
    <s v="Т-012"/>
    <x v="0"/>
    <x v="0"/>
    <n v="3"/>
    <n v="3490"/>
    <n v="0"/>
    <n v="10470"/>
    <n v="5070"/>
    <n v="0.48424068767908307"/>
  </r>
  <r>
    <s v="З-0094"/>
    <x v="83"/>
    <s v="Т-011"/>
    <x v="11"/>
    <x v="2"/>
    <n v="2"/>
    <n v="21990"/>
    <n v="0.1"/>
    <n v="39582"/>
    <n v="10582"/>
    <n v="0.26734374210499723"/>
  </r>
  <r>
    <s v="З-0095"/>
    <x v="84"/>
    <s v="Т-008"/>
    <x v="9"/>
    <x v="2"/>
    <n v="1"/>
    <n v="2490"/>
    <n v="0"/>
    <n v="2490"/>
    <n v="1290"/>
    <n v="0.51807228915662651"/>
  </r>
  <r>
    <s v="З-0096"/>
    <x v="85"/>
    <s v="Т-015"/>
    <x v="16"/>
    <x v="1"/>
    <n v="3"/>
    <n v="5990"/>
    <n v="0"/>
    <n v="17970"/>
    <n v="9270"/>
    <n v="0.5158597662771286"/>
  </r>
  <r>
    <s v="З-0097"/>
    <x v="24"/>
    <s v="Т-014"/>
    <x v="12"/>
    <x v="2"/>
    <n v="2"/>
    <n v="14990"/>
    <n v="0.14000000000000001"/>
    <n v="25782.799999999999"/>
    <n v="8582.7999999999993"/>
    <n v="0.33288859239492996"/>
  </r>
  <r>
    <s v="З-0098"/>
    <x v="86"/>
    <s v="Т-002"/>
    <x v="5"/>
    <x v="4"/>
    <n v="2"/>
    <n v="26990"/>
    <n v="0"/>
    <n v="53980"/>
    <n v="16180"/>
    <n v="0.29974064468321598"/>
  </r>
  <r>
    <s v="З-0099"/>
    <x v="87"/>
    <s v="Т-015"/>
    <x v="16"/>
    <x v="1"/>
    <n v="2"/>
    <n v="5990"/>
    <n v="0"/>
    <n v="11980"/>
    <n v="6180"/>
    <n v="0.5158597662771286"/>
  </r>
  <r>
    <s v="З-0100"/>
    <x v="88"/>
    <s v="Т-014"/>
    <x v="12"/>
    <x v="2"/>
    <n v="2"/>
    <n v="14990"/>
    <n v="0.05"/>
    <n v="28481"/>
    <n v="11281"/>
    <n v="0.39608862048383131"/>
  </r>
  <r>
    <s v="З-0101"/>
    <x v="87"/>
    <s v="Т-005"/>
    <x v="15"/>
    <x v="2"/>
    <n v="3"/>
    <n v="45990"/>
    <n v="0"/>
    <n v="137970"/>
    <n v="40770"/>
    <n v="0.29549902152641877"/>
  </r>
  <r>
    <s v="З-0102"/>
    <x v="14"/>
    <s v="Т-018"/>
    <x v="8"/>
    <x v="0"/>
    <n v="2"/>
    <n v="7590"/>
    <n v="0"/>
    <n v="15180"/>
    <n v="6780"/>
    <n v="0.44664031620553357"/>
  </r>
  <r>
    <s v="З-0103"/>
    <x v="89"/>
    <s v="Т-016"/>
    <x v="19"/>
    <x v="4"/>
    <n v="1"/>
    <n v="44990"/>
    <n v="0"/>
    <n v="44990"/>
    <n v="12490"/>
    <n v="0.27761724827739498"/>
  </r>
  <r>
    <s v="З-0104"/>
    <x v="90"/>
    <s v="Т-002"/>
    <x v="5"/>
    <x v="4"/>
    <n v="1"/>
    <n v="26990"/>
    <n v="0"/>
    <n v="26990"/>
    <n v="8090"/>
    <n v="0.29974064468321598"/>
  </r>
  <r>
    <s v="З-0105"/>
    <x v="91"/>
    <s v="Т-001"/>
    <x v="4"/>
    <x v="4"/>
    <n v="1"/>
    <n v="29990"/>
    <n v="0"/>
    <n v="29990"/>
    <n v="8490"/>
    <n v="0.28309436478826278"/>
  </r>
  <r>
    <s v="З-0106"/>
    <x v="92"/>
    <s v="Т-016"/>
    <x v="19"/>
    <x v="4"/>
    <n v="1"/>
    <n v="44990"/>
    <n v="0"/>
    <n v="44990"/>
    <n v="12490"/>
    <n v="0.27761724827739498"/>
  </r>
  <r>
    <s v="З-0107"/>
    <x v="49"/>
    <s v="Т-012"/>
    <x v="0"/>
    <x v="0"/>
    <n v="2"/>
    <n v="3490"/>
    <n v="0"/>
    <n v="6980"/>
    <n v="3380"/>
    <n v="0.48424068767908307"/>
  </r>
  <r>
    <s v="З-0108"/>
    <x v="19"/>
    <s v="Т-009"/>
    <x v="1"/>
    <x v="1"/>
    <n v="2"/>
    <n v="990"/>
    <n v="0"/>
    <n v="1980"/>
    <n v="1280"/>
    <n v="0.64646464646464652"/>
  </r>
  <r>
    <s v="З-0109"/>
    <x v="51"/>
    <s v="Т-011"/>
    <x v="11"/>
    <x v="2"/>
    <n v="1"/>
    <n v="21990"/>
    <n v="7.0000000000000007E-2"/>
    <n v="20450.699999999997"/>
    <n v="5950.6999999999971"/>
    <n v="0.29097781494031977"/>
  </r>
  <r>
    <s v="З-0110"/>
    <x v="93"/>
    <s v="Т-002"/>
    <x v="5"/>
    <x v="4"/>
    <n v="2"/>
    <n v="26990"/>
    <n v="0.12"/>
    <n v="47502.400000000001"/>
    <n v="9702.4000000000015"/>
    <n v="0.20425073259456367"/>
  </r>
  <r>
    <s v="З-0111"/>
    <x v="94"/>
    <s v="Т-013"/>
    <x v="14"/>
    <x v="4"/>
    <n v="2"/>
    <n v="39990"/>
    <n v="0.09"/>
    <n v="72781.8"/>
    <n v="15781.800000000003"/>
    <n v="0.21683717632704883"/>
  </r>
  <r>
    <s v="З-0112"/>
    <x v="95"/>
    <s v="Т-002"/>
    <x v="5"/>
    <x v="4"/>
    <n v="1"/>
    <n v="26990"/>
    <n v="0"/>
    <n v="26990"/>
    <n v="8090"/>
    <n v="0.29974064468321598"/>
  </r>
  <r>
    <s v="З-0113"/>
    <x v="91"/>
    <s v="Т-003"/>
    <x v="13"/>
    <x v="6"/>
    <n v="3"/>
    <n v="890"/>
    <n v="0"/>
    <n v="2670"/>
    <n v="1320"/>
    <n v="0.4943820224719101"/>
  </r>
  <r>
    <s v="З-0114"/>
    <x v="37"/>
    <s v="Т-011"/>
    <x v="11"/>
    <x v="2"/>
    <n v="2"/>
    <n v="21990"/>
    <n v="0"/>
    <n v="43980"/>
    <n v="14980"/>
    <n v="0.34060936789449747"/>
  </r>
  <r>
    <s v="З-0115"/>
    <x v="96"/>
    <s v="Т-001"/>
    <x v="4"/>
    <x v="4"/>
    <n v="1"/>
    <n v="29990"/>
    <n v="0.06"/>
    <n v="28190.6"/>
    <n v="6690.5999999999985"/>
    <n v="0.23733443062581139"/>
  </r>
  <r>
    <s v="З-0116"/>
    <x v="97"/>
    <s v="Т-019"/>
    <x v="6"/>
    <x v="4"/>
    <n v="1"/>
    <n v="12990"/>
    <n v="0"/>
    <n v="12990"/>
    <n v="4090"/>
    <n v="0.31485758275596615"/>
  </r>
  <r>
    <s v="З-0117"/>
    <x v="53"/>
    <s v="Т-012"/>
    <x v="0"/>
    <x v="0"/>
    <n v="3"/>
    <n v="3490"/>
    <n v="0"/>
    <n v="10470"/>
    <n v="5070"/>
    <n v="0.48424068767908307"/>
  </r>
  <r>
    <s v="З-0118"/>
    <x v="4"/>
    <s v="Т-002"/>
    <x v="5"/>
    <x v="4"/>
    <n v="1"/>
    <n v="26990"/>
    <n v="0"/>
    <n v="26990"/>
    <n v="8090"/>
    <n v="0.29974064468321598"/>
  </r>
  <r>
    <s v="З-0119"/>
    <x v="9"/>
    <s v="Т-002"/>
    <x v="5"/>
    <x v="4"/>
    <n v="1"/>
    <n v="26990"/>
    <n v="0"/>
    <n v="26990"/>
    <n v="8090"/>
    <n v="0.29974064468321598"/>
  </r>
  <r>
    <s v="З-0120"/>
    <x v="48"/>
    <s v="Т-018"/>
    <x v="8"/>
    <x v="0"/>
    <n v="3"/>
    <n v="7590"/>
    <n v="0"/>
    <n v="22770"/>
    <n v="10170"/>
    <n v="0.44664031620553357"/>
  </r>
  <r>
    <s v="З-0121"/>
    <x v="98"/>
    <s v="Т-018"/>
    <x v="8"/>
    <x v="0"/>
    <n v="3"/>
    <n v="7590"/>
    <n v="0.1"/>
    <n v="20493"/>
    <n v="7893"/>
    <n v="0.38515590689503731"/>
  </r>
  <r>
    <s v="З-0122"/>
    <x v="99"/>
    <s v="Т-018"/>
    <x v="8"/>
    <x v="0"/>
    <n v="1"/>
    <n v="7590"/>
    <n v="0"/>
    <n v="7590"/>
    <n v="3390"/>
    <n v="0.44664031620553357"/>
  </r>
  <r>
    <s v="З-0123"/>
    <x v="100"/>
    <s v="Т-010"/>
    <x v="17"/>
    <x v="4"/>
    <n v="2"/>
    <n v="18990"/>
    <n v="0"/>
    <n v="37980"/>
    <n v="11580"/>
    <n v="0.30489731437598738"/>
  </r>
  <r>
    <s v="З-0124"/>
    <x v="63"/>
    <s v="Т-015"/>
    <x v="16"/>
    <x v="1"/>
    <n v="1"/>
    <n v="5990"/>
    <n v="0"/>
    <n v="5990"/>
    <n v="3090"/>
    <n v="0.5158597662771286"/>
  </r>
  <r>
    <s v="З-0125"/>
    <x v="101"/>
    <s v="Т-017"/>
    <x v="10"/>
    <x v="5"/>
    <n v="1"/>
    <n v="79990"/>
    <n v="0"/>
    <n v="79990"/>
    <n v="21090"/>
    <n v="0.26365795724465557"/>
  </r>
  <r>
    <s v="З-0126"/>
    <x v="60"/>
    <s v="Т-004"/>
    <x v="18"/>
    <x v="1"/>
    <n v="1"/>
    <n v="12990"/>
    <n v="0"/>
    <n v="12990"/>
    <n v="5490"/>
    <n v="0.42263279445727481"/>
  </r>
  <r>
    <s v="З-0127"/>
    <x v="102"/>
    <s v="Т-004"/>
    <x v="18"/>
    <x v="1"/>
    <n v="1"/>
    <n v="12990"/>
    <n v="0"/>
    <n v="12990"/>
    <n v="5490"/>
    <n v="0.42263279445727481"/>
  </r>
  <r>
    <s v="З-0128"/>
    <x v="103"/>
    <s v="Т-011"/>
    <x v="11"/>
    <x v="2"/>
    <n v="1"/>
    <n v="21990"/>
    <n v="0"/>
    <n v="21990"/>
    <n v="7490"/>
    <n v="0.34060936789449747"/>
  </r>
  <r>
    <s v="З-0129"/>
    <x v="104"/>
    <s v="Т-009"/>
    <x v="1"/>
    <x v="1"/>
    <n v="1"/>
    <n v="990"/>
    <n v="0"/>
    <n v="990"/>
    <n v="640"/>
    <n v="0.64646464646464652"/>
  </r>
  <r>
    <s v="З-0130"/>
    <x v="105"/>
    <s v="Т-004"/>
    <x v="18"/>
    <x v="1"/>
    <n v="3"/>
    <n v="12990"/>
    <n v="0"/>
    <n v="38970"/>
    <n v="16470"/>
    <n v="0.42263279445727481"/>
  </r>
  <r>
    <s v="З-0131"/>
    <x v="0"/>
    <s v="Т-013"/>
    <x v="14"/>
    <x v="4"/>
    <n v="3"/>
    <n v="39990"/>
    <n v="0"/>
    <n v="119970"/>
    <n v="34470"/>
    <n v="0.28732183045761439"/>
  </r>
  <r>
    <s v="З-0132"/>
    <x v="106"/>
    <s v="Т-005"/>
    <x v="15"/>
    <x v="2"/>
    <n v="3"/>
    <n v="45990"/>
    <n v="0"/>
    <n v="137970"/>
    <n v="40770"/>
    <n v="0.29549902152641877"/>
  </r>
  <r>
    <s v="З-0133"/>
    <x v="107"/>
    <s v="Т-012"/>
    <x v="0"/>
    <x v="0"/>
    <n v="3"/>
    <n v="3490"/>
    <n v="0.09"/>
    <n v="9527.7000000000007"/>
    <n v="4127.7000000000007"/>
    <n v="0.4332315249220694"/>
  </r>
  <r>
    <s v="З-0134"/>
    <x v="108"/>
    <s v="Т-009"/>
    <x v="1"/>
    <x v="1"/>
    <n v="2"/>
    <n v="990"/>
    <n v="0"/>
    <n v="1980"/>
    <n v="1280"/>
    <n v="0.64646464646464652"/>
  </r>
  <r>
    <s v="З-0135"/>
    <x v="109"/>
    <s v="Т-008"/>
    <x v="9"/>
    <x v="2"/>
    <n v="2"/>
    <n v="2490"/>
    <n v="0"/>
    <n v="4980"/>
    <n v="2580"/>
    <n v="0.51807228915662651"/>
  </r>
  <r>
    <s v="З-0136"/>
    <x v="110"/>
    <s v="Т-016"/>
    <x v="19"/>
    <x v="4"/>
    <n v="3"/>
    <n v="44990"/>
    <n v="0.09"/>
    <n v="122822.7"/>
    <n v="25322.700000000004"/>
    <n v="0.20617280030482968"/>
  </r>
  <r>
    <s v="З-0137"/>
    <x v="102"/>
    <s v="Т-008"/>
    <x v="9"/>
    <x v="2"/>
    <n v="2"/>
    <n v="2490"/>
    <n v="0"/>
    <n v="4980"/>
    <n v="2580"/>
    <n v="0.51807228915662651"/>
  </r>
  <r>
    <s v="З-0138"/>
    <x v="111"/>
    <s v="Т-003"/>
    <x v="13"/>
    <x v="6"/>
    <n v="1"/>
    <n v="890"/>
    <n v="0"/>
    <n v="890"/>
    <n v="440"/>
    <n v="0.4943820224719101"/>
  </r>
  <r>
    <s v="З-0139"/>
    <x v="112"/>
    <s v="Т-014"/>
    <x v="12"/>
    <x v="2"/>
    <n v="3"/>
    <n v="14990"/>
    <n v="0"/>
    <n v="44970"/>
    <n v="19170"/>
    <n v="0.42628418945963975"/>
  </r>
  <r>
    <s v="З-0140"/>
    <x v="113"/>
    <s v="Т-008"/>
    <x v="9"/>
    <x v="2"/>
    <n v="1"/>
    <n v="2490"/>
    <n v="0.13"/>
    <n v="2166.3000000000002"/>
    <n v="966.30000000000018"/>
    <n v="0.44606010247888112"/>
  </r>
  <r>
    <s v="З-0141"/>
    <x v="114"/>
    <s v="Т-008"/>
    <x v="9"/>
    <x v="2"/>
    <n v="2"/>
    <n v="2490"/>
    <n v="7.0000000000000007E-2"/>
    <n v="4631.3999999999996"/>
    <n v="2231.3999999999996"/>
    <n v="0.48179816038346934"/>
  </r>
  <r>
    <s v="З-0142"/>
    <x v="115"/>
    <s v="Т-013"/>
    <x v="14"/>
    <x v="4"/>
    <n v="1"/>
    <n v="39990"/>
    <n v="0"/>
    <n v="39990"/>
    <n v="11490"/>
    <n v="0.28732183045761439"/>
  </r>
  <r>
    <s v="З-0143"/>
    <x v="116"/>
    <s v="Т-011"/>
    <x v="11"/>
    <x v="2"/>
    <n v="1"/>
    <n v="21990"/>
    <n v="0.05"/>
    <n v="20890.5"/>
    <n v="6390.5"/>
    <n v="0.30590459778368156"/>
  </r>
  <r>
    <s v="З-0144"/>
    <x v="117"/>
    <s v="Т-002"/>
    <x v="5"/>
    <x v="4"/>
    <n v="1"/>
    <n v="26990"/>
    <n v="0"/>
    <n v="26990"/>
    <n v="8090"/>
    <n v="0.29974064468321598"/>
  </r>
  <r>
    <s v="З-0145"/>
    <x v="118"/>
    <s v="Т-003"/>
    <x v="13"/>
    <x v="6"/>
    <n v="1"/>
    <n v="890"/>
    <n v="0"/>
    <n v="890"/>
    <n v="440"/>
    <n v="0.4943820224719101"/>
  </r>
  <r>
    <s v="З-0146"/>
    <x v="119"/>
    <s v="Т-017"/>
    <x v="10"/>
    <x v="5"/>
    <n v="3"/>
    <n v="79990"/>
    <n v="0.1"/>
    <n v="215973"/>
    <n v="39273"/>
    <n v="0.18184217471628397"/>
  </r>
  <r>
    <s v="З-0147"/>
    <x v="83"/>
    <s v="Т-014"/>
    <x v="12"/>
    <x v="2"/>
    <n v="1"/>
    <n v="14990"/>
    <n v="0"/>
    <n v="14990"/>
    <n v="6390"/>
    <n v="0.42628418945963975"/>
  </r>
  <r>
    <s v="З-0148"/>
    <x v="19"/>
    <s v="Т-020"/>
    <x v="2"/>
    <x v="2"/>
    <n v="1"/>
    <n v="4990"/>
    <n v="0"/>
    <n v="4990"/>
    <n v="1790"/>
    <n v="0.3587174348697395"/>
  </r>
  <r>
    <s v="З-0149"/>
    <x v="120"/>
    <s v="Т-010"/>
    <x v="17"/>
    <x v="4"/>
    <n v="3"/>
    <n v="18990"/>
    <n v="0"/>
    <n v="56970"/>
    <n v="17370"/>
    <n v="0.30489731437598738"/>
  </r>
  <r>
    <s v="З-0150"/>
    <x v="121"/>
    <s v="Т-019"/>
    <x v="6"/>
    <x v="4"/>
    <n v="2"/>
    <n v="12990"/>
    <n v="0"/>
    <n v="25980"/>
    <n v="8180"/>
    <n v="0.31485758275596615"/>
  </r>
  <r>
    <s v="З-0151"/>
    <x v="77"/>
    <s v="Т-013"/>
    <x v="14"/>
    <x v="4"/>
    <n v="3"/>
    <n v="39990"/>
    <n v="0"/>
    <n v="119970"/>
    <n v="34470"/>
    <n v="0.28732183045761439"/>
  </r>
  <r>
    <s v="З-0152"/>
    <x v="122"/>
    <s v="Т-019"/>
    <x v="6"/>
    <x v="4"/>
    <n v="2"/>
    <n v="12990"/>
    <n v="0.05"/>
    <n v="24681"/>
    <n v="6881"/>
    <n v="0.27879745553259594"/>
  </r>
  <r>
    <s v="З-0153"/>
    <x v="123"/>
    <s v="Т-001"/>
    <x v="4"/>
    <x v="4"/>
    <n v="2"/>
    <n v="29990"/>
    <n v="0.11"/>
    <n v="53382.200000000004"/>
    <n v="10382.200000000004"/>
    <n v="0.1944880503238908"/>
  </r>
  <r>
    <s v="З-0154"/>
    <x v="124"/>
    <s v="Т-004"/>
    <x v="18"/>
    <x v="1"/>
    <n v="1"/>
    <n v="12990"/>
    <n v="0"/>
    <n v="12990"/>
    <n v="5490"/>
    <n v="0.42263279445727481"/>
  </r>
  <r>
    <s v="З-0155"/>
    <x v="125"/>
    <s v="Т-016"/>
    <x v="19"/>
    <x v="4"/>
    <n v="2"/>
    <n v="44990"/>
    <n v="0.12"/>
    <n v="79182.399999999994"/>
    <n v="14182.399999999994"/>
    <n v="0.1791105094061306"/>
  </r>
  <r>
    <s v="З-0156"/>
    <x v="126"/>
    <s v="Т-002"/>
    <x v="5"/>
    <x v="4"/>
    <n v="2"/>
    <n v="26990"/>
    <n v="0"/>
    <n v="53980"/>
    <n v="16180"/>
    <n v="0.29974064468321598"/>
  </r>
  <r>
    <s v="З-0157"/>
    <x v="127"/>
    <s v="Т-007"/>
    <x v="7"/>
    <x v="4"/>
    <n v="2"/>
    <n v="64990"/>
    <n v="0"/>
    <n v="129980"/>
    <n v="34380"/>
    <n v="0.26450223111247884"/>
  </r>
  <r>
    <s v="З-0158"/>
    <x v="128"/>
    <s v="Т-016"/>
    <x v="19"/>
    <x v="4"/>
    <n v="3"/>
    <n v="44990"/>
    <n v="0"/>
    <n v="134970"/>
    <n v="37470"/>
    <n v="0.27761724827739498"/>
  </r>
  <r>
    <s v="З-0159"/>
    <x v="41"/>
    <s v="Т-012"/>
    <x v="0"/>
    <x v="0"/>
    <n v="3"/>
    <n v="3490"/>
    <n v="0"/>
    <n v="10470"/>
    <n v="5070"/>
    <n v="0.48424068767908307"/>
  </r>
  <r>
    <s v="З-0160"/>
    <x v="21"/>
    <s v="Т-004"/>
    <x v="18"/>
    <x v="1"/>
    <n v="3"/>
    <n v="12990"/>
    <n v="0.12"/>
    <n v="34293.599999999999"/>
    <n v="11793.600000000002"/>
    <n v="0.34390090279235785"/>
  </r>
  <r>
    <s v="З-0161"/>
    <x v="129"/>
    <s v="Т-007"/>
    <x v="7"/>
    <x v="4"/>
    <n v="1"/>
    <n v="64990"/>
    <n v="0"/>
    <n v="64990"/>
    <n v="17190"/>
    <n v="0.26450223111247884"/>
  </r>
  <r>
    <s v="З-0162"/>
    <x v="130"/>
    <s v="Т-014"/>
    <x v="12"/>
    <x v="2"/>
    <n v="1"/>
    <n v="14990"/>
    <n v="0.1"/>
    <n v="13491"/>
    <n v="4891"/>
    <n v="0.3625379882884886"/>
  </r>
  <r>
    <s v="З-0163"/>
    <x v="131"/>
    <s v="Т-017"/>
    <x v="10"/>
    <x v="5"/>
    <n v="1"/>
    <n v="79990"/>
    <n v="0"/>
    <n v="79990"/>
    <n v="21090"/>
    <n v="0.26365795724465557"/>
  </r>
  <r>
    <s v="З-0164"/>
    <x v="132"/>
    <s v="Т-016"/>
    <x v="19"/>
    <x v="4"/>
    <n v="1"/>
    <n v="44990"/>
    <n v="0"/>
    <n v="44990"/>
    <n v="12490"/>
    <n v="0.27761724827739498"/>
  </r>
  <r>
    <s v="З-0165"/>
    <x v="130"/>
    <s v="Т-010"/>
    <x v="17"/>
    <x v="4"/>
    <n v="1"/>
    <n v="18990"/>
    <n v="0"/>
    <n v="18990"/>
    <n v="5790"/>
    <n v="0.30489731437598738"/>
  </r>
  <r>
    <s v="З-0166"/>
    <x v="133"/>
    <s v="Т-020"/>
    <x v="2"/>
    <x v="2"/>
    <n v="2"/>
    <n v="4990"/>
    <n v="0"/>
    <n v="9980"/>
    <n v="3580"/>
    <n v="0.3587174348697395"/>
  </r>
  <r>
    <s v="З-0167"/>
    <x v="134"/>
    <s v="Т-005"/>
    <x v="15"/>
    <x v="2"/>
    <n v="1"/>
    <n v="45990"/>
    <n v="0"/>
    <n v="45990"/>
    <n v="13590"/>
    <n v="0.29549902152641877"/>
  </r>
  <r>
    <s v="З-0168"/>
    <x v="135"/>
    <s v="Т-019"/>
    <x v="6"/>
    <x v="4"/>
    <n v="2"/>
    <n v="12990"/>
    <n v="0"/>
    <n v="25980"/>
    <n v="8180"/>
    <n v="0.31485758275596615"/>
  </r>
  <r>
    <s v="З-0169"/>
    <x v="136"/>
    <s v="Т-014"/>
    <x v="12"/>
    <x v="2"/>
    <n v="3"/>
    <n v="14990"/>
    <n v="0"/>
    <n v="44970"/>
    <n v="19170"/>
    <n v="0.42628418945963975"/>
  </r>
  <r>
    <s v="З-0170"/>
    <x v="137"/>
    <s v="Т-007"/>
    <x v="7"/>
    <x v="4"/>
    <n v="1"/>
    <n v="64990"/>
    <n v="0"/>
    <n v="64990"/>
    <n v="17190"/>
    <n v="0.26450223111247884"/>
  </r>
  <r>
    <s v="З-0171"/>
    <x v="138"/>
    <s v="Т-006"/>
    <x v="3"/>
    <x v="3"/>
    <n v="1"/>
    <n v="8990"/>
    <n v="0"/>
    <n v="8990"/>
    <n v="3790"/>
    <n v="0.42157953281423804"/>
  </r>
  <r>
    <s v="З-0172"/>
    <x v="139"/>
    <s v="Т-002"/>
    <x v="5"/>
    <x v="4"/>
    <n v="2"/>
    <n v="26990"/>
    <n v="0"/>
    <n v="53980"/>
    <n v="16180"/>
    <n v="0.29974064468321598"/>
  </r>
  <r>
    <s v="З-0173"/>
    <x v="22"/>
    <s v="Т-003"/>
    <x v="13"/>
    <x v="6"/>
    <n v="2"/>
    <n v="890"/>
    <n v="0"/>
    <n v="1780"/>
    <n v="880"/>
    <n v="0.4943820224719101"/>
  </r>
  <r>
    <s v="З-0174"/>
    <x v="140"/>
    <s v="Т-012"/>
    <x v="0"/>
    <x v="0"/>
    <n v="2"/>
    <n v="3490"/>
    <n v="0"/>
    <n v="6980"/>
    <n v="3380"/>
    <n v="0.48424068767908307"/>
  </r>
  <r>
    <s v="З-0175"/>
    <x v="141"/>
    <s v="Т-003"/>
    <x v="13"/>
    <x v="6"/>
    <n v="2"/>
    <n v="890"/>
    <n v="0"/>
    <n v="1780"/>
    <n v="880"/>
    <n v="0.4943820224719101"/>
  </r>
  <r>
    <s v="З-0176"/>
    <x v="55"/>
    <s v="Т-012"/>
    <x v="0"/>
    <x v="0"/>
    <n v="3"/>
    <n v="3490"/>
    <n v="0"/>
    <n v="10470"/>
    <n v="5070"/>
    <n v="0.48424068767908307"/>
  </r>
  <r>
    <s v="З-0177"/>
    <x v="100"/>
    <s v="Т-010"/>
    <x v="17"/>
    <x v="4"/>
    <n v="1"/>
    <n v="18990"/>
    <n v="0"/>
    <n v="18990"/>
    <n v="5790"/>
    <n v="0.30489731437598738"/>
  </r>
  <r>
    <s v="З-0178"/>
    <x v="45"/>
    <s v="Т-006"/>
    <x v="3"/>
    <x v="3"/>
    <n v="2"/>
    <n v="8990"/>
    <n v="7.0000000000000007E-2"/>
    <n v="16721.399999999998"/>
    <n v="6321.3999999999978"/>
    <n v="0.37804250840240644"/>
  </r>
  <r>
    <s v="З-0179"/>
    <x v="69"/>
    <s v="Т-013"/>
    <x v="14"/>
    <x v="4"/>
    <n v="3"/>
    <n v="39990"/>
    <n v="0"/>
    <n v="119970"/>
    <n v="34470"/>
    <n v="0.28732183045761439"/>
  </r>
  <r>
    <s v="З-0180"/>
    <x v="142"/>
    <s v="Т-018"/>
    <x v="8"/>
    <x v="0"/>
    <n v="3"/>
    <n v="7590"/>
    <n v="0"/>
    <n v="22770"/>
    <n v="10170"/>
    <n v="0.44664031620553357"/>
  </r>
  <r>
    <s v="З-0181"/>
    <x v="143"/>
    <s v="Т-018"/>
    <x v="8"/>
    <x v="0"/>
    <n v="2"/>
    <n v="7590"/>
    <n v="0"/>
    <n v="15180"/>
    <n v="6780"/>
    <n v="0.44664031620553357"/>
  </r>
  <r>
    <s v="З-0182"/>
    <x v="144"/>
    <s v="Т-012"/>
    <x v="0"/>
    <x v="0"/>
    <n v="2"/>
    <n v="3490"/>
    <n v="0"/>
    <n v="6980"/>
    <n v="3380"/>
    <n v="0.48424068767908307"/>
  </r>
  <r>
    <s v="З-0183"/>
    <x v="145"/>
    <s v="Т-015"/>
    <x v="16"/>
    <x v="1"/>
    <n v="2"/>
    <n v="5990"/>
    <n v="0"/>
    <n v="11980"/>
    <n v="6180"/>
    <n v="0.5158597662771286"/>
  </r>
  <r>
    <s v="З-0184"/>
    <x v="117"/>
    <s v="Т-008"/>
    <x v="9"/>
    <x v="2"/>
    <n v="1"/>
    <n v="2490"/>
    <n v="0"/>
    <n v="2490"/>
    <n v="1290"/>
    <n v="0.51807228915662651"/>
  </r>
  <r>
    <s v="З-0185"/>
    <x v="2"/>
    <s v="Т-006"/>
    <x v="3"/>
    <x v="3"/>
    <n v="2"/>
    <n v="8990"/>
    <n v="0"/>
    <n v="17980"/>
    <n v="7580"/>
    <n v="0.42157953281423804"/>
  </r>
  <r>
    <s v="З-0186"/>
    <x v="120"/>
    <s v="Т-004"/>
    <x v="18"/>
    <x v="1"/>
    <n v="1"/>
    <n v="12990"/>
    <n v="0"/>
    <n v="12990"/>
    <n v="5490"/>
    <n v="0.42263279445727481"/>
  </r>
  <r>
    <s v="З-0187"/>
    <x v="33"/>
    <s v="Т-019"/>
    <x v="6"/>
    <x v="4"/>
    <n v="3"/>
    <n v="12990"/>
    <n v="0"/>
    <n v="38970"/>
    <n v="12270"/>
    <n v="0.31485758275596615"/>
  </r>
  <r>
    <s v="З-0188"/>
    <x v="146"/>
    <s v="Т-010"/>
    <x v="17"/>
    <x v="4"/>
    <n v="3"/>
    <n v="18990"/>
    <n v="0"/>
    <n v="56970"/>
    <n v="17370"/>
    <n v="0.30489731437598738"/>
  </r>
  <r>
    <s v="З-0189"/>
    <x v="122"/>
    <s v="Т-003"/>
    <x v="13"/>
    <x v="6"/>
    <n v="2"/>
    <n v="890"/>
    <n v="0"/>
    <n v="1780"/>
    <n v="880"/>
    <n v="0.4943820224719101"/>
  </r>
  <r>
    <s v="З-0190"/>
    <x v="67"/>
    <s v="Т-019"/>
    <x v="6"/>
    <x v="4"/>
    <n v="3"/>
    <n v="12990"/>
    <n v="0"/>
    <n v="38970"/>
    <n v="12270"/>
    <n v="0.31485758275596615"/>
  </r>
  <r>
    <s v="З-0191"/>
    <x v="13"/>
    <s v="Т-020"/>
    <x v="2"/>
    <x v="2"/>
    <n v="2"/>
    <n v="4990"/>
    <n v="0.13"/>
    <n v="8682.6"/>
    <n v="2282.6000000000004"/>
    <n v="0.26289360329855116"/>
  </r>
  <r>
    <s v="З-0192"/>
    <x v="147"/>
    <s v="Т-014"/>
    <x v="12"/>
    <x v="2"/>
    <n v="2"/>
    <n v="14990"/>
    <n v="0"/>
    <n v="29980"/>
    <n v="12780"/>
    <n v="0.42628418945963975"/>
  </r>
  <r>
    <s v="З-0193"/>
    <x v="148"/>
    <s v="Т-005"/>
    <x v="15"/>
    <x v="2"/>
    <n v="1"/>
    <n v="45990"/>
    <n v="0"/>
    <n v="45990"/>
    <n v="13590"/>
    <n v="0.29549902152641877"/>
  </r>
  <r>
    <s v="З-0194"/>
    <x v="149"/>
    <s v="Т-005"/>
    <x v="15"/>
    <x v="2"/>
    <n v="2"/>
    <n v="45990"/>
    <n v="0"/>
    <n v="91980"/>
    <n v="27180"/>
    <n v="0.29549902152641877"/>
  </r>
  <r>
    <s v="З-0195"/>
    <x v="150"/>
    <s v="Т-001"/>
    <x v="4"/>
    <x v="4"/>
    <n v="3"/>
    <n v="29990"/>
    <n v="0"/>
    <n v="89970"/>
    <n v="25470"/>
    <n v="0.28309436478826278"/>
  </r>
  <r>
    <s v="З-0196"/>
    <x v="55"/>
    <s v="Т-017"/>
    <x v="10"/>
    <x v="5"/>
    <n v="3"/>
    <n v="79990"/>
    <n v="0"/>
    <n v="239970"/>
    <n v="63270"/>
    <n v="0.26365795724465557"/>
  </r>
  <r>
    <s v="З-0197"/>
    <x v="151"/>
    <s v="Т-012"/>
    <x v="0"/>
    <x v="0"/>
    <n v="2"/>
    <n v="3490"/>
    <n v="0"/>
    <n v="6980"/>
    <n v="3380"/>
    <n v="0.48424068767908307"/>
  </r>
  <r>
    <s v="З-0198"/>
    <x v="152"/>
    <s v="Т-019"/>
    <x v="6"/>
    <x v="4"/>
    <n v="3"/>
    <n v="12990"/>
    <n v="0"/>
    <n v="38970"/>
    <n v="12270"/>
    <n v="0.31485758275596615"/>
  </r>
  <r>
    <s v="З-0199"/>
    <x v="20"/>
    <s v="Т-008"/>
    <x v="9"/>
    <x v="2"/>
    <n v="1"/>
    <n v="2490"/>
    <n v="0.12"/>
    <n v="2191.1999999999998"/>
    <n v="991.19999999999982"/>
    <n v="0.452354874041621"/>
  </r>
  <r>
    <s v="З-0200"/>
    <x v="24"/>
    <s v="Т-004"/>
    <x v="18"/>
    <x v="1"/>
    <n v="3"/>
    <n v="12990"/>
    <n v="0"/>
    <n v="38970"/>
    <n v="16470"/>
    <n v="0.42263279445727481"/>
  </r>
  <r>
    <s v="З-0201"/>
    <x v="153"/>
    <s v="Т-008"/>
    <x v="9"/>
    <x v="2"/>
    <n v="3"/>
    <n v="2490"/>
    <n v="0.05"/>
    <n v="7096.5"/>
    <n v="3496.5"/>
    <n v="0.49270767279644895"/>
  </r>
  <r>
    <s v="З-0202"/>
    <x v="154"/>
    <s v="Т-001"/>
    <x v="4"/>
    <x v="4"/>
    <n v="3"/>
    <n v="29990"/>
    <n v="0"/>
    <n v="89970"/>
    <n v="25470"/>
    <n v="0.28309436478826278"/>
  </r>
  <r>
    <s v="З-0203"/>
    <x v="155"/>
    <s v="Т-010"/>
    <x v="17"/>
    <x v="4"/>
    <n v="1"/>
    <n v="18990"/>
    <n v="0"/>
    <n v="18990"/>
    <n v="5790"/>
    <n v="0.30489731437598738"/>
  </r>
  <r>
    <s v="З-0204"/>
    <x v="3"/>
    <s v="Т-020"/>
    <x v="2"/>
    <x v="2"/>
    <n v="2"/>
    <n v="4990"/>
    <n v="0"/>
    <n v="9980"/>
    <n v="3580"/>
    <n v="0.3587174348697395"/>
  </r>
  <r>
    <s v="З-0205"/>
    <x v="71"/>
    <s v="Т-008"/>
    <x v="9"/>
    <x v="2"/>
    <n v="2"/>
    <n v="2490"/>
    <n v="0"/>
    <n v="4980"/>
    <n v="2580"/>
    <n v="0.51807228915662651"/>
  </r>
  <r>
    <s v="З-0206"/>
    <x v="156"/>
    <s v="Т-019"/>
    <x v="6"/>
    <x v="4"/>
    <n v="1"/>
    <n v="12990"/>
    <n v="0"/>
    <n v="12990"/>
    <n v="4090"/>
    <n v="0.31485758275596615"/>
  </r>
  <r>
    <s v="З-0207"/>
    <x v="157"/>
    <s v="Т-012"/>
    <x v="0"/>
    <x v="0"/>
    <n v="2"/>
    <n v="3490"/>
    <n v="0"/>
    <n v="6980"/>
    <n v="3380"/>
    <n v="0.48424068767908307"/>
  </r>
  <r>
    <s v="З-0208"/>
    <x v="112"/>
    <s v="Т-014"/>
    <x v="12"/>
    <x v="2"/>
    <n v="1"/>
    <n v="14990"/>
    <n v="0"/>
    <n v="14990"/>
    <n v="6390"/>
    <n v="0.42628418945963975"/>
  </r>
  <r>
    <s v="З-0209"/>
    <x v="158"/>
    <s v="Т-016"/>
    <x v="19"/>
    <x v="4"/>
    <n v="3"/>
    <n v="44990"/>
    <n v="0"/>
    <n v="134970"/>
    <n v="37470"/>
    <n v="0.27761724827739498"/>
  </r>
  <r>
    <s v="З-0210"/>
    <x v="16"/>
    <s v="Т-007"/>
    <x v="7"/>
    <x v="4"/>
    <n v="1"/>
    <n v="64990"/>
    <n v="0.1"/>
    <n v="58491"/>
    <n v="10691"/>
    <n v="0.18278025679164317"/>
  </r>
  <r>
    <s v="З-0211"/>
    <x v="159"/>
    <s v="Т-011"/>
    <x v="11"/>
    <x v="2"/>
    <n v="2"/>
    <n v="21990"/>
    <n v="0"/>
    <n v="43980"/>
    <n v="14980"/>
    <n v="0.34060936789449747"/>
  </r>
  <r>
    <s v="З-0212"/>
    <x v="157"/>
    <s v="Т-013"/>
    <x v="14"/>
    <x v="4"/>
    <n v="2"/>
    <n v="39990"/>
    <n v="0"/>
    <n v="79980"/>
    <n v="22980"/>
    <n v="0.28732183045761439"/>
  </r>
  <r>
    <s v="З-0213"/>
    <x v="160"/>
    <s v="Т-014"/>
    <x v="12"/>
    <x v="2"/>
    <n v="1"/>
    <n v="14990"/>
    <n v="0"/>
    <n v="14990"/>
    <n v="6390"/>
    <n v="0.42628418945963975"/>
  </r>
  <r>
    <s v="З-0214"/>
    <x v="161"/>
    <s v="Т-010"/>
    <x v="17"/>
    <x v="4"/>
    <n v="1"/>
    <n v="18990"/>
    <n v="0.06"/>
    <n v="17850.599999999999"/>
    <n v="4650.5999999999985"/>
    <n v="0.26052905784679503"/>
  </r>
  <r>
    <s v="З-0215"/>
    <x v="38"/>
    <s v="Т-019"/>
    <x v="6"/>
    <x v="4"/>
    <n v="2"/>
    <n v="12990"/>
    <n v="0"/>
    <n v="25980"/>
    <n v="8180"/>
    <n v="0.31485758275596615"/>
  </r>
  <r>
    <s v="З-0216"/>
    <x v="162"/>
    <s v="Т-006"/>
    <x v="3"/>
    <x v="3"/>
    <n v="1"/>
    <n v="8990"/>
    <n v="0"/>
    <n v="8990"/>
    <n v="3790"/>
    <n v="0.42157953281423804"/>
  </r>
  <r>
    <s v="З-0217"/>
    <x v="163"/>
    <s v="Т-017"/>
    <x v="10"/>
    <x v="5"/>
    <n v="2"/>
    <n v="79990"/>
    <n v="0"/>
    <n v="159980"/>
    <n v="42180"/>
    <n v="0.26365795724465557"/>
  </r>
  <r>
    <s v="З-0218"/>
    <x v="15"/>
    <s v="Т-014"/>
    <x v="12"/>
    <x v="2"/>
    <n v="3"/>
    <n v="14990"/>
    <n v="0"/>
    <n v="44970"/>
    <n v="19170"/>
    <n v="0.42628418945963975"/>
  </r>
  <r>
    <s v="З-0219"/>
    <x v="164"/>
    <s v="Т-008"/>
    <x v="9"/>
    <x v="2"/>
    <n v="2"/>
    <n v="2490"/>
    <n v="0"/>
    <n v="4980"/>
    <n v="2580"/>
    <n v="0.51807228915662651"/>
  </r>
  <r>
    <s v="З-0220"/>
    <x v="165"/>
    <s v="Т-003"/>
    <x v="13"/>
    <x v="6"/>
    <n v="1"/>
    <n v="890"/>
    <n v="0"/>
    <n v="890"/>
    <n v="440"/>
    <n v="0.4943820224719101"/>
  </r>
  <r>
    <s v="З-0221"/>
    <x v="166"/>
    <s v="Т-010"/>
    <x v="17"/>
    <x v="4"/>
    <n v="2"/>
    <n v="18990"/>
    <n v="0"/>
    <n v="37980"/>
    <n v="11580"/>
    <n v="0.30489731437598738"/>
  </r>
  <r>
    <s v="З-0222"/>
    <x v="167"/>
    <s v="Т-006"/>
    <x v="3"/>
    <x v="3"/>
    <n v="3"/>
    <n v="8990"/>
    <n v="0"/>
    <n v="26970"/>
    <n v="11370"/>
    <n v="0.42157953281423804"/>
  </r>
  <r>
    <s v="З-0223"/>
    <x v="112"/>
    <s v="Т-002"/>
    <x v="5"/>
    <x v="4"/>
    <n v="2"/>
    <n v="26990"/>
    <n v="0"/>
    <n v="53980"/>
    <n v="16180"/>
    <n v="0.29974064468321598"/>
  </r>
  <r>
    <s v="З-0224"/>
    <x v="168"/>
    <s v="Т-019"/>
    <x v="6"/>
    <x v="4"/>
    <n v="1"/>
    <n v="12990"/>
    <n v="0"/>
    <n v="12990"/>
    <n v="4090"/>
    <n v="0.31485758275596615"/>
  </r>
  <r>
    <s v="З-0225"/>
    <x v="169"/>
    <s v="Т-017"/>
    <x v="10"/>
    <x v="5"/>
    <n v="2"/>
    <n v="79990"/>
    <n v="0"/>
    <n v="159980"/>
    <n v="42180"/>
    <n v="0.26365795724465557"/>
  </r>
  <r>
    <s v="З-0226"/>
    <x v="170"/>
    <s v="Т-015"/>
    <x v="16"/>
    <x v="1"/>
    <n v="2"/>
    <n v="5990"/>
    <n v="0"/>
    <n v="11980"/>
    <n v="6180"/>
    <n v="0.5158597662771286"/>
  </r>
  <r>
    <s v="З-0227"/>
    <x v="109"/>
    <s v="Т-007"/>
    <x v="7"/>
    <x v="4"/>
    <n v="3"/>
    <n v="64990"/>
    <n v="0"/>
    <n v="194970"/>
    <n v="51570"/>
    <n v="0.26450223111247884"/>
  </r>
  <r>
    <s v="З-0228"/>
    <x v="160"/>
    <s v="Т-002"/>
    <x v="5"/>
    <x v="4"/>
    <n v="2"/>
    <n v="26990"/>
    <n v="0"/>
    <n v="53980"/>
    <n v="16180"/>
    <n v="0.29974064468321598"/>
  </r>
  <r>
    <s v="З-0229"/>
    <x v="171"/>
    <s v="Т-010"/>
    <x v="17"/>
    <x v="4"/>
    <n v="1"/>
    <n v="18990"/>
    <n v="0"/>
    <n v="18990"/>
    <n v="5790"/>
    <n v="0.30489731437598738"/>
  </r>
  <r>
    <s v="З-0230"/>
    <x v="109"/>
    <s v="Т-013"/>
    <x v="14"/>
    <x v="4"/>
    <n v="1"/>
    <n v="39990"/>
    <n v="0"/>
    <n v="39990"/>
    <n v="11490"/>
    <n v="0.28732183045761439"/>
  </r>
  <r>
    <s v="З-0231"/>
    <x v="172"/>
    <s v="Т-006"/>
    <x v="3"/>
    <x v="3"/>
    <n v="1"/>
    <n v="8990"/>
    <n v="0"/>
    <n v="8990"/>
    <n v="3790"/>
    <n v="0.42157953281423804"/>
  </r>
  <r>
    <s v="З-0232"/>
    <x v="102"/>
    <s v="Т-012"/>
    <x v="0"/>
    <x v="0"/>
    <n v="3"/>
    <n v="3490"/>
    <n v="0"/>
    <n v="10470"/>
    <n v="5070"/>
    <n v="0.48424068767908307"/>
  </r>
  <r>
    <s v="З-0233"/>
    <x v="173"/>
    <s v="Т-014"/>
    <x v="12"/>
    <x v="2"/>
    <n v="3"/>
    <n v="14990"/>
    <n v="0"/>
    <n v="44970"/>
    <n v="19170"/>
    <n v="0.42628418945963975"/>
  </r>
  <r>
    <s v="З-0234"/>
    <x v="164"/>
    <s v="Т-007"/>
    <x v="7"/>
    <x v="4"/>
    <n v="1"/>
    <n v="64990"/>
    <n v="0"/>
    <n v="64990"/>
    <n v="17190"/>
    <n v="0.26450223111247884"/>
  </r>
  <r>
    <s v="З-0235"/>
    <x v="174"/>
    <s v="Т-020"/>
    <x v="2"/>
    <x v="2"/>
    <n v="3"/>
    <n v="4990"/>
    <n v="0"/>
    <n v="14970"/>
    <n v="5370"/>
    <n v="0.3587174348697395"/>
  </r>
  <r>
    <s v="З-0236"/>
    <x v="52"/>
    <s v="Т-011"/>
    <x v="11"/>
    <x v="2"/>
    <n v="1"/>
    <n v="21990"/>
    <n v="0"/>
    <n v="21990"/>
    <n v="7490"/>
    <n v="0.34060936789449747"/>
  </r>
  <r>
    <s v="З-0237"/>
    <x v="175"/>
    <s v="Т-016"/>
    <x v="19"/>
    <x v="4"/>
    <n v="2"/>
    <n v="44990"/>
    <n v="0"/>
    <n v="89980"/>
    <n v="24980"/>
    <n v="0.27761724827739498"/>
  </r>
  <r>
    <s v="З-0238"/>
    <x v="119"/>
    <s v="Т-012"/>
    <x v="0"/>
    <x v="0"/>
    <n v="3"/>
    <n v="3490"/>
    <n v="0"/>
    <n v="10470"/>
    <n v="5070"/>
    <n v="0.48424068767908307"/>
  </r>
  <r>
    <s v="З-0239"/>
    <x v="176"/>
    <s v="Т-012"/>
    <x v="0"/>
    <x v="0"/>
    <n v="2"/>
    <n v="3490"/>
    <n v="0"/>
    <n v="6980"/>
    <n v="3380"/>
    <n v="0.48424068767908307"/>
  </r>
  <r>
    <s v="З-0240"/>
    <x v="164"/>
    <s v="Т-001"/>
    <x v="4"/>
    <x v="4"/>
    <n v="2"/>
    <n v="29990"/>
    <n v="0"/>
    <n v="59980"/>
    <n v="16980"/>
    <n v="0.28309436478826278"/>
  </r>
  <r>
    <s v="З-0241"/>
    <x v="177"/>
    <s v="Т-015"/>
    <x v="16"/>
    <x v="1"/>
    <n v="3"/>
    <n v="5990"/>
    <n v="0"/>
    <n v="17970"/>
    <n v="9270"/>
    <n v="0.5158597662771286"/>
  </r>
  <r>
    <s v="З-0242"/>
    <x v="178"/>
    <s v="Т-016"/>
    <x v="19"/>
    <x v="4"/>
    <n v="3"/>
    <n v="44990"/>
    <n v="0"/>
    <n v="134970"/>
    <n v="37470"/>
    <n v="0.27761724827739498"/>
  </r>
  <r>
    <s v="З-0243"/>
    <x v="179"/>
    <s v="Т-003"/>
    <x v="13"/>
    <x v="6"/>
    <n v="2"/>
    <n v="890"/>
    <n v="0"/>
    <n v="1780"/>
    <n v="880"/>
    <n v="0.4943820224719101"/>
  </r>
  <r>
    <s v="З-0244"/>
    <x v="19"/>
    <s v="Т-005"/>
    <x v="15"/>
    <x v="2"/>
    <n v="2"/>
    <n v="45990"/>
    <n v="0"/>
    <n v="91980"/>
    <n v="27180"/>
    <n v="0.29549902152641877"/>
  </r>
  <r>
    <s v="З-0245"/>
    <x v="134"/>
    <s v="Т-017"/>
    <x v="10"/>
    <x v="5"/>
    <n v="3"/>
    <n v="79990"/>
    <n v="7.0000000000000007E-2"/>
    <n v="223172.09999999998"/>
    <n v="46472.099999999991"/>
    <n v="0.20823436262866191"/>
  </r>
  <r>
    <s v="З-0246"/>
    <x v="180"/>
    <s v="Т-003"/>
    <x v="13"/>
    <x v="6"/>
    <n v="1"/>
    <n v="890"/>
    <n v="0"/>
    <n v="890"/>
    <n v="440"/>
    <n v="0.4943820224719101"/>
  </r>
  <r>
    <s v="З-0247"/>
    <x v="181"/>
    <s v="Т-002"/>
    <x v="5"/>
    <x v="4"/>
    <n v="1"/>
    <n v="26990"/>
    <n v="0.15"/>
    <n v="22941.5"/>
    <n v="4041.5"/>
    <n v="0.1761654643331953"/>
  </r>
  <r>
    <s v="З-0248"/>
    <x v="81"/>
    <s v="Т-017"/>
    <x v="10"/>
    <x v="5"/>
    <n v="2"/>
    <n v="79990"/>
    <n v="0"/>
    <n v="159980"/>
    <n v="42180"/>
    <n v="0.26365795724465557"/>
  </r>
  <r>
    <s v="З-0249"/>
    <x v="182"/>
    <s v="Т-015"/>
    <x v="16"/>
    <x v="1"/>
    <n v="1"/>
    <n v="5990"/>
    <n v="0"/>
    <n v="5990"/>
    <n v="3090"/>
    <n v="0.5158597662771286"/>
  </r>
  <r>
    <s v="З-0250"/>
    <x v="21"/>
    <s v="Т-014"/>
    <x v="12"/>
    <x v="2"/>
    <n v="1"/>
    <n v="14990"/>
    <n v="7.0000000000000007E-2"/>
    <n v="13940.699999999999"/>
    <n v="5340.6999999999989"/>
    <n v="0.38310127898885993"/>
  </r>
  <r>
    <s v="З-0251"/>
    <x v="183"/>
    <s v="Т-011"/>
    <x v="11"/>
    <x v="2"/>
    <n v="2"/>
    <n v="21990"/>
    <n v="0"/>
    <n v="43980"/>
    <n v="14980"/>
    <n v="0.34060936789449747"/>
  </r>
  <r>
    <s v="З-0252"/>
    <x v="184"/>
    <s v="Т-010"/>
    <x v="17"/>
    <x v="4"/>
    <n v="1"/>
    <n v="18990"/>
    <n v="0"/>
    <n v="18990"/>
    <n v="5790"/>
    <n v="0.30489731437598738"/>
  </r>
  <r>
    <s v="З-0253"/>
    <x v="185"/>
    <s v="Т-009"/>
    <x v="1"/>
    <x v="1"/>
    <n v="2"/>
    <n v="990"/>
    <n v="0"/>
    <n v="1980"/>
    <n v="1280"/>
    <n v="0.64646464646464652"/>
  </r>
  <r>
    <s v="З-0254"/>
    <x v="144"/>
    <s v="Т-004"/>
    <x v="18"/>
    <x v="1"/>
    <n v="1"/>
    <n v="12990"/>
    <n v="0"/>
    <n v="12990"/>
    <n v="5490"/>
    <n v="0.42263279445727481"/>
  </r>
  <r>
    <s v="З-0255"/>
    <x v="186"/>
    <s v="Т-014"/>
    <x v="12"/>
    <x v="2"/>
    <n v="2"/>
    <n v="14990"/>
    <n v="0"/>
    <n v="29980"/>
    <n v="12780"/>
    <n v="0.42628418945963975"/>
  </r>
  <r>
    <s v="З-0256"/>
    <x v="136"/>
    <s v="Т-019"/>
    <x v="6"/>
    <x v="4"/>
    <n v="1"/>
    <n v="12990"/>
    <n v="0.14000000000000001"/>
    <n v="11171.4"/>
    <n v="2271.3999999999996"/>
    <n v="0.20332277064647222"/>
  </r>
  <r>
    <s v="З-0257"/>
    <x v="187"/>
    <s v="Т-019"/>
    <x v="6"/>
    <x v="4"/>
    <n v="3"/>
    <n v="12990"/>
    <n v="0"/>
    <n v="38970"/>
    <n v="12270"/>
    <n v="0.31485758275596615"/>
  </r>
  <r>
    <s v="З-0258"/>
    <x v="188"/>
    <s v="Т-015"/>
    <x v="16"/>
    <x v="1"/>
    <n v="2"/>
    <n v="5990"/>
    <n v="0"/>
    <n v="11980"/>
    <n v="6180"/>
    <n v="0.5158597662771286"/>
  </r>
  <r>
    <s v="З-0259"/>
    <x v="111"/>
    <s v="Т-002"/>
    <x v="5"/>
    <x v="4"/>
    <n v="1"/>
    <n v="26990"/>
    <n v="0"/>
    <n v="26990"/>
    <n v="8090"/>
    <n v="0.29974064468321598"/>
  </r>
  <r>
    <s v="З-0260"/>
    <x v="31"/>
    <s v="Т-005"/>
    <x v="15"/>
    <x v="2"/>
    <n v="1"/>
    <n v="45990"/>
    <n v="0"/>
    <n v="45990"/>
    <n v="13590"/>
    <n v="0.29549902152641877"/>
  </r>
  <r>
    <s v="З-0261"/>
    <x v="189"/>
    <s v="Т-008"/>
    <x v="9"/>
    <x v="2"/>
    <n v="1"/>
    <n v="2490"/>
    <n v="0"/>
    <n v="2490"/>
    <n v="1290"/>
    <n v="0.51807228915662651"/>
  </r>
  <r>
    <s v="З-0262"/>
    <x v="190"/>
    <s v="Т-005"/>
    <x v="15"/>
    <x v="2"/>
    <n v="3"/>
    <n v="45990"/>
    <n v="0.14000000000000001"/>
    <n v="118654.2"/>
    <n v="21454.200000000004"/>
    <n v="0.18081281572839397"/>
  </r>
  <r>
    <s v="З-0263"/>
    <x v="191"/>
    <s v="Т-003"/>
    <x v="13"/>
    <x v="6"/>
    <n v="2"/>
    <n v="890"/>
    <n v="0"/>
    <n v="1780"/>
    <n v="880"/>
    <n v="0.4943820224719101"/>
  </r>
  <r>
    <s v="З-0264"/>
    <x v="192"/>
    <s v="Т-005"/>
    <x v="15"/>
    <x v="2"/>
    <n v="3"/>
    <n v="45990"/>
    <n v="0.12"/>
    <n v="121413.6"/>
    <n v="24213.599999999991"/>
    <n v="0.19943070628002127"/>
  </r>
  <r>
    <s v="З-0265"/>
    <x v="193"/>
    <s v="Т-009"/>
    <x v="1"/>
    <x v="1"/>
    <n v="2"/>
    <n v="990"/>
    <n v="7.0000000000000007E-2"/>
    <n v="1841.3999999999999"/>
    <n v="1141.3999999999999"/>
    <n v="0.6198544585641359"/>
  </r>
  <r>
    <s v="З-0266"/>
    <x v="162"/>
    <s v="Т-020"/>
    <x v="2"/>
    <x v="2"/>
    <n v="2"/>
    <n v="4990"/>
    <n v="0"/>
    <n v="9980"/>
    <n v="3580"/>
    <n v="0.3587174348697395"/>
  </r>
  <r>
    <s v="З-0267"/>
    <x v="194"/>
    <s v="Т-004"/>
    <x v="18"/>
    <x v="1"/>
    <n v="2"/>
    <n v="12990"/>
    <n v="0"/>
    <n v="25980"/>
    <n v="10980"/>
    <n v="0.42263279445727481"/>
  </r>
  <r>
    <s v="З-0268"/>
    <x v="195"/>
    <s v="Т-007"/>
    <x v="7"/>
    <x v="4"/>
    <n v="3"/>
    <n v="64990"/>
    <n v="0.1"/>
    <n v="175473"/>
    <n v="32073"/>
    <n v="0.18278025679164317"/>
  </r>
  <r>
    <s v="З-0269"/>
    <x v="56"/>
    <s v="Т-007"/>
    <x v="7"/>
    <x v="4"/>
    <n v="1"/>
    <n v="64990"/>
    <n v="0"/>
    <n v="64990"/>
    <n v="17190"/>
    <n v="0.26450223111247884"/>
  </r>
  <r>
    <s v="З-0270"/>
    <x v="196"/>
    <s v="Т-018"/>
    <x v="8"/>
    <x v="0"/>
    <n v="2"/>
    <n v="7590"/>
    <n v="0"/>
    <n v="15180"/>
    <n v="6780"/>
    <n v="0.44664031620553357"/>
  </r>
  <r>
    <s v="З-0271"/>
    <x v="113"/>
    <s v="Т-012"/>
    <x v="0"/>
    <x v="0"/>
    <n v="2"/>
    <n v="3490"/>
    <n v="0"/>
    <n v="6980"/>
    <n v="3380"/>
    <n v="0.48424068767908307"/>
  </r>
  <r>
    <s v="З-0272"/>
    <x v="197"/>
    <s v="Т-005"/>
    <x v="15"/>
    <x v="2"/>
    <n v="2"/>
    <n v="45990"/>
    <n v="0.12"/>
    <n v="80942.399999999994"/>
    <n v="16142.399999999994"/>
    <n v="0.1994307062800213"/>
  </r>
  <r>
    <s v="З-0273"/>
    <x v="198"/>
    <s v="Т-008"/>
    <x v="9"/>
    <x v="2"/>
    <n v="3"/>
    <n v="2490"/>
    <n v="0"/>
    <n v="7470"/>
    <n v="3870"/>
    <n v="0.51807228915662651"/>
  </r>
  <r>
    <s v="З-0274"/>
    <x v="19"/>
    <s v="Т-008"/>
    <x v="9"/>
    <x v="2"/>
    <n v="2"/>
    <n v="2490"/>
    <n v="0"/>
    <n v="4980"/>
    <n v="2580"/>
    <n v="0.51807228915662651"/>
  </r>
  <r>
    <s v="З-0275"/>
    <x v="124"/>
    <s v="Т-016"/>
    <x v="19"/>
    <x v="4"/>
    <n v="2"/>
    <n v="44990"/>
    <n v="0"/>
    <n v="89980"/>
    <n v="24980"/>
    <n v="0.27761724827739498"/>
  </r>
  <r>
    <s v="З-0276"/>
    <x v="15"/>
    <s v="Т-018"/>
    <x v="8"/>
    <x v="0"/>
    <n v="1"/>
    <n v="7590"/>
    <n v="0.13"/>
    <n v="6603.3"/>
    <n v="2403.3000000000002"/>
    <n v="0.3639543864431421"/>
  </r>
  <r>
    <s v="З-0277"/>
    <x v="169"/>
    <s v="Т-003"/>
    <x v="13"/>
    <x v="6"/>
    <n v="2"/>
    <n v="890"/>
    <n v="0"/>
    <n v="1780"/>
    <n v="880"/>
    <n v="0.4943820224719101"/>
  </r>
  <r>
    <s v="З-0278"/>
    <x v="168"/>
    <s v="Т-014"/>
    <x v="12"/>
    <x v="2"/>
    <n v="2"/>
    <n v="14990"/>
    <n v="0"/>
    <n v="29980"/>
    <n v="12780"/>
    <n v="0.42628418945963975"/>
  </r>
  <r>
    <s v="З-0279"/>
    <x v="199"/>
    <s v="Т-013"/>
    <x v="14"/>
    <x v="4"/>
    <n v="1"/>
    <n v="39990"/>
    <n v="0"/>
    <n v="39990"/>
    <n v="11490"/>
    <n v="0.28732183045761439"/>
  </r>
  <r>
    <s v="З-0280"/>
    <x v="20"/>
    <s v="Т-013"/>
    <x v="14"/>
    <x v="4"/>
    <n v="1"/>
    <n v="39990"/>
    <n v="0"/>
    <n v="39990"/>
    <n v="11490"/>
    <n v="0.28732183045761439"/>
  </r>
  <r>
    <s v="З-0281"/>
    <x v="200"/>
    <s v="Т-007"/>
    <x v="7"/>
    <x v="4"/>
    <n v="1"/>
    <n v="64990"/>
    <n v="0"/>
    <n v="64990"/>
    <n v="17190"/>
    <n v="0.26450223111247884"/>
  </r>
  <r>
    <s v="З-0282"/>
    <x v="200"/>
    <s v="Т-011"/>
    <x v="11"/>
    <x v="2"/>
    <n v="2"/>
    <n v="21990"/>
    <n v="0"/>
    <n v="43980"/>
    <n v="14980"/>
    <n v="0.34060936789449747"/>
  </r>
  <r>
    <s v="З-0283"/>
    <x v="201"/>
    <s v="Т-006"/>
    <x v="3"/>
    <x v="3"/>
    <n v="2"/>
    <n v="8990"/>
    <n v="0"/>
    <n v="17980"/>
    <n v="7580"/>
    <n v="0.42157953281423804"/>
  </r>
  <r>
    <s v="З-0284"/>
    <x v="163"/>
    <s v="Т-007"/>
    <x v="7"/>
    <x v="4"/>
    <n v="3"/>
    <n v="64990"/>
    <n v="0"/>
    <n v="194970"/>
    <n v="51570"/>
    <n v="0.26450223111247884"/>
  </r>
  <r>
    <s v="З-0285"/>
    <x v="202"/>
    <s v="Т-013"/>
    <x v="14"/>
    <x v="4"/>
    <n v="3"/>
    <n v="39990"/>
    <n v="0"/>
    <n v="119970"/>
    <n v="34470"/>
    <n v="0.28732183045761439"/>
  </r>
  <r>
    <s v="З-0286"/>
    <x v="13"/>
    <s v="Т-013"/>
    <x v="14"/>
    <x v="4"/>
    <n v="3"/>
    <n v="39990"/>
    <n v="0"/>
    <n v="119970"/>
    <n v="34470"/>
    <n v="0.28732183045761439"/>
  </r>
  <r>
    <s v="З-0287"/>
    <x v="203"/>
    <s v="Т-012"/>
    <x v="0"/>
    <x v="0"/>
    <n v="1"/>
    <n v="3490"/>
    <n v="0.1"/>
    <n v="3141"/>
    <n v="1341"/>
    <n v="0.42693409742120342"/>
  </r>
  <r>
    <s v="З-0288"/>
    <x v="88"/>
    <s v="Т-016"/>
    <x v="19"/>
    <x v="4"/>
    <n v="1"/>
    <n v="44990"/>
    <n v="0"/>
    <n v="44990"/>
    <n v="12490"/>
    <n v="0.27761724827739498"/>
  </r>
  <r>
    <s v="З-0289"/>
    <x v="15"/>
    <s v="Т-002"/>
    <x v="5"/>
    <x v="4"/>
    <n v="3"/>
    <n v="26990"/>
    <n v="0"/>
    <n v="80970"/>
    <n v="24270"/>
    <n v="0.29974064468321598"/>
  </r>
  <r>
    <s v="З-0290"/>
    <x v="199"/>
    <s v="Т-001"/>
    <x v="4"/>
    <x v="4"/>
    <n v="2"/>
    <n v="29990"/>
    <n v="0"/>
    <n v="59980"/>
    <n v="16980"/>
    <n v="0.28309436478826278"/>
  </r>
  <r>
    <s v="З-0291"/>
    <x v="204"/>
    <s v="Т-011"/>
    <x v="11"/>
    <x v="2"/>
    <n v="1"/>
    <n v="21990"/>
    <n v="0"/>
    <n v="21990"/>
    <n v="7490"/>
    <n v="0.34060936789449747"/>
  </r>
  <r>
    <s v="З-0292"/>
    <x v="205"/>
    <s v="Т-003"/>
    <x v="13"/>
    <x v="6"/>
    <n v="2"/>
    <n v="890"/>
    <n v="0"/>
    <n v="1780"/>
    <n v="880"/>
    <n v="0.4943820224719101"/>
  </r>
  <r>
    <s v="З-0293"/>
    <x v="191"/>
    <s v="Т-001"/>
    <x v="4"/>
    <x v="4"/>
    <n v="2"/>
    <n v="29990"/>
    <n v="0"/>
    <n v="59980"/>
    <n v="16980"/>
    <n v="0.28309436478826278"/>
  </r>
  <r>
    <s v="З-0294"/>
    <x v="165"/>
    <s v="Т-005"/>
    <x v="15"/>
    <x v="2"/>
    <n v="2"/>
    <n v="45990"/>
    <n v="0.14000000000000001"/>
    <n v="79102.8"/>
    <n v="14302.800000000003"/>
    <n v="0.18081281572839397"/>
  </r>
  <r>
    <s v="З-0295"/>
    <x v="189"/>
    <s v="Т-013"/>
    <x v="14"/>
    <x v="4"/>
    <n v="2"/>
    <n v="39990"/>
    <n v="0"/>
    <n v="79980"/>
    <n v="22980"/>
    <n v="0.28732183045761439"/>
  </r>
  <r>
    <s v="З-0296"/>
    <x v="206"/>
    <s v="Т-016"/>
    <x v="19"/>
    <x v="4"/>
    <n v="1"/>
    <n v="44990"/>
    <n v="0"/>
    <n v="44990"/>
    <n v="12490"/>
    <n v="0.27761724827739498"/>
  </r>
  <r>
    <s v="З-0297"/>
    <x v="207"/>
    <s v="Т-005"/>
    <x v="15"/>
    <x v="2"/>
    <n v="2"/>
    <n v="45990"/>
    <n v="0.1"/>
    <n v="82782"/>
    <n v="17982"/>
    <n v="0.2172211350293542"/>
  </r>
  <r>
    <s v="З-0298"/>
    <x v="32"/>
    <s v="Т-019"/>
    <x v="6"/>
    <x v="4"/>
    <n v="3"/>
    <n v="12990"/>
    <n v="0"/>
    <n v="38970"/>
    <n v="12270"/>
    <n v="0.31485758275596615"/>
  </r>
  <r>
    <s v="З-0299"/>
    <x v="74"/>
    <s v="Т-018"/>
    <x v="8"/>
    <x v="0"/>
    <n v="3"/>
    <n v="7590"/>
    <n v="0"/>
    <n v="22770"/>
    <n v="10170"/>
    <n v="0.44664031620553357"/>
  </r>
  <r>
    <s v="З-0300"/>
    <x v="185"/>
    <s v="Т-003"/>
    <x v="13"/>
    <x v="6"/>
    <n v="3"/>
    <n v="890"/>
    <n v="0"/>
    <n v="2670"/>
    <n v="1320"/>
    <n v="0.4943820224719101"/>
  </r>
  <r>
    <s v="З-0301"/>
    <x v="86"/>
    <s v="Т-018"/>
    <x v="8"/>
    <x v="0"/>
    <n v="2"/>
    <n v="7590"/>
    <n v="0"/>
    <n v="15180"/>
    <n v="6780"/>
    <n v="0.44664031620553357"/>
  </r>
  <r>
    <s v="З-0302"/>
    <x v="208"/>
    <s v="Т-002"/>
    <x v="5"/>
    <x v="4"/>
    <n v="3"/>
    <n v="26990"/>
    <n v="0"/>
    <n v="80970"/>
    <n v="24270"/>
    <n v="0.29974064468321598"/>
  </r>
  <r>
    <s v="З-0303"/>
    <x v="209"/>
    <s v="Т-018"/>
    <x v="8"/>
    <x v="0"/>
    <n v="2"/>
    <n v="7590"/>
    <n v="0"/>
    <n v="15180"/>
    <n v="6780"/>
    <n v="0.44664031620553357"/>
  </r>
  <r>
    <s v="З-0304"/>
    <x v="210"/>
    <s v="Т-017"/>
    <x v="10"/>
    <x v="5"/>
    <n v="1"/>
    <n v="79990"/>
    <n v="0"/>
    <n v="79990"/>
    <n v="21090"/>
    <n v="0.26365795724465557"/>
  </r>
  <r>
    <s v="З-0305"/>
    <x v="185"/>
    <s v="Т-008"/>
    <x v="9"/>
    <x v="2"/>
    <n v="2"/>
    <n v="2490"/>
    <n v="0"/>
    <n v="4980"/>
    <n v="2580"/>
    <n v="0.51807228915662651"/>
  </r>
  <r>
    <s v="З-0306"/>
    <x v="187"/>
    <s v="Т-015"/>
    <x v="16"/>
    <x v="1"/>
    <n v="1"/>
    <n v="5990"/>
    <n v="0.11"/>
    <n v="5331.1"/>
    <n v="2431.1000000000004"/>
    <n v="0.45602220930014448"/>
  </r>
  <r>
    <s v="З-0307"/>
    <x v="211"/>
    <s v="Т-012"/>
    <x v="0"/>
    <x v="0"/>
    <n v="3"/>
    <n v="3490"/>
    <n v="0"/>
    <n v="10470"/>
    <n v="5070"/>
    <n v="0.48424068767908307"/>
  </r>
  <r>
    <s v="З-0308"/>
    <x v="212"/>
    <s v="Т-010"/>
    <x v="17"/>
    <x v="4"/>
    <n v="2"/>
    <n v="18990"/>
    <n v="0"/>
    <n v="37980"/>
    <n v="11580"/>
    <n v="0.30489731437598738"/>
  </r>
  <r>
    <s v="З-0309"/>
    <x v="213"/>
    <s v="Т-008"/>
    <x v="9"/>
    <x v="2"/>
    <n v="3"/>
    <n v="2490"/>
    <n v="0"/>
    <n v="7470"/>
    <n v="3870"/>
    <n v="0.51807228915662651"/>
  </r>
  <r>
    <s v="З-0310"/>
    <x v="214"/>
    <s v="Т-009"/>
    <x v="1"/>
    <x v="1"/>
    <n v="3"/>
    <n v="990"/>
    <n v="0"/>
    <n v="2970"/>
    <n v="1920"/>
    <n v="0.64646464646464652"/>
  </r>
  <r>
    <s v="З-0311"/>
    <x v="116"/>
    <s v="Т-007"/>
    <x v="7"/>
    <x v="4"/>
    <n v="3"/>
    <n v="64990"/>
    <n v="0"/>
    <n v="194970"/>
    <n v="51570"/>
    <n v="0.26450223111247884"/>
  </r>
  <r>
    <s v="З-0312"/>
    <x v="215"/>
    <s v="Т-008"/>
    <x v="9"/>
    <x v="2"/>
    <n v="3"/>
    <n v="2490"/>
    <n v="0"/>
    <n v="7470"/>
    <n v="3870"/>
    <n v="0.51807228915662651"/>
  </r>
  <r>
    <s v="З-0313"/>
    <x v="87"/>
    <s v="Т-002"/>
    <x v="5"/>
    <x v="4"/>
    <n v="2"/>
    <n v="26990"/>
    <n v="0"/>
    <n v="53980"/>
    <n v="16180"/>
    <n v="0.29974064468321598"/>
  </r>
  <r>
    <s v="З-0314"/>
    <x v="216"/>
    <s v="Т-014"/>
    <x v="12"/>
    <x v="2"/>
    <n v="3"/>
    <n v="14990"/>
    <n v="0.08"/>
    <n v="41372.400000000001"/>
    <n v="15572.400000000003"/>
    <n v="0.37639585810830417"/>
  </r>
  <r>
    <s v="З-0315"/>
    <x v="80"/>
    <s v="Т-010"/>
    <x v="17"/>
    <x v="4"/>
    <n v="1"/>
    <n v="18990"/>
    <n v="0"/>
    <n v="18990"/>
    <n v="5790"/>
    <n v="0.30489731437598738"/>
  </r>
  <r>
    <s v="З-0316"/>
    <x v="202"/>
    <s v="Т-019"/>
    <x v="6"/>
    <x v="4"/>
    <n v="1"/>
    <n v="12990"/>
    <n v="0"/>
    <n v="12990"/>
    <n v="4090"/>
    <n v="0.31485758275596615"/>
  </r>
  <r>
    <s v="З-0317"/>
    <x v="73"/>
    <s v="Т-017"/>
    <x v="10"/>
    <x v="5"/>
    <n v="1"/>
    <n v="79990"/>
    <n v="0"/>
    <n v="79990"/>
    <n v="21090"/>
    <n v="0.26365795724465557"/>
  </r>
  <r>
    <s v="З-0318"/>
    <x v="211"/>
    <s v="Т-004"/>
    <x v="18"/>
    <x v="1"/>
    <n v="1"/>
    <n v="12990"/>
    <n v="0.12"/>
    <n v="11431.2"/>
    <n v="3931.2000000000007"/>
    <n v="0.3439009027923578"/>
  </r>
  <r>
    <s v="З-0319"/>
    <x v="114"/>
    <s v="Т-020"/>
    <x v="2"/>
    <x v="2"/>
    <n v="2"/>
    <n v="4990"/>
    <n v="0"/>
    <n v="9980"/>
    <n v="3580"/>
    <n v="0.3587174348697395"/>
  </r>
  <r>
    <s v="З-0320"/>
    <x v="157"/>
    <s v="Т-002"/>
    <x v="5"/>
    <x v="4"/>
    <n v="2"/>
    <n v="26990"/>
    <n v="0"/>
    <n v="53980"/>
    <n v="16180"/>
    <n v="0.29974064468321598"/>
  </r>
  <r>
    <s v="З-0321"/>
    <x v="136"/>
    <s v="Т-013"/>
    <x v="14"/>
    <x v="4"/>
    <n v="3"/>
    <n v="39990"/>
    <n v="0"/>
    <n v="119970"/>
    <n v="34470"/>
    <n v="0.28732183045761439"/>
  </r>
  <r>
    <s v="З-0322"/>
    <x v="0"/>
    <s v="Т-010"/>
    <x v="17"/>
    <x v="4"/>
    <n v="3"/>
    <n v="18990"/>
    <n v="0"/>
    <n v="56970"/>
    <n v="17370"/>
    <n v="0.30489731437598738"/>
  </r>
  <r>
    <s v="З-0323"/>
    <x v="153"/>
    <s v="Т-015"/>
    <x v="16"/>
    <x v="1"/>
    <n v="3"/>
    <n v="5990"/>
    <n v="0"/>
    <n v="17970"/>
    <n v="9270"/>
    <n v="0.5158597662771286"/>
  </r>
  <r>
    <s v="З-0324"/>
    <x v="217"/>
    <s v="Т-012"/>
    <x v="0"/>
    <x v="0"/>
    <n v="1"/>
    <n v="3490"/>
    <n v="0"/>
    <n v="3490"/>
    <n v="1690"/>
    <n v="0.48424068767908307"/>
  </r>
  <r>
    <s v="З-0325"/>
    <x v="58"/>
    <s v="Т-006"/>
    <x v="3"/>
    <x v="3"/>
    <n v="3"/>
    <n v="8990"/>
    <n v="0"/>
    <n v="26970"/>
    <n v="11370"/>
    <n v="0.42157953281423804"/>
  </r>
  <r>
    <s v="З-0326"/>
    <x v="116"/>
    <s v="Т-013"/>
    <x v="14"/>
    <x v="4"/>
    <n v="3"/>
    <n v="39990"/>
    <n v="0"/>
    <n v="119970"/>
    <n v="34470"/>
    <n v="0.28732183045761439"/>
  </r>
  <r>
    <s v="З-0327"/>
    <x v="218"/>
    <s v="Т-001"/>
    <x v="4"/>
    <x v="4"/>
    <n v="3"/>
    <n v="29990"/>
    <n v="0"/>
    <n v="89970"/>
    <n v="25470"/>
    <n v="0.28309436478826278"/>
  </r>
  <r>
    <s v="З-0328"/>
    <x v="1"/>
    <s v="Т-011"/>
    <x v="11"/>
    <x v="2"/>
    <n v="3"/>
    <n v="21990"/>
    <n v="0"/>
    <n v="65970"/>
    <n v="22470"/>
    <n v="0.34060936789449747"/>
  </r>
  <r>
    <s v="З-0329"/>
    <x v="219"/>
    <s v="Т-019"/>
    <x v="6"/>
    <x v="4"/>
    <n v="1"/>
    <n v="12990"/>
    <n v="0"/>
    <n v="12990"/>
    <n v="4090"/>
    <n v="0.31485758275596615"/>
  </r>
  <r>
    <s v="З-0330"/>
    <x v="148"/>
    <s v="Т-004"/>
    <x v="18"/>
    <x v="1"/>
    <n v="3"/>
    <n v="12990"/>
    <n v="0"/>
    <n v="38970"/>
    <n v="16470"/>
    <n v="0.42263279445727481"/>
  </r>
  <r>
    <s v="З-0331"/>
    <x v="220"/>
    <s v="Т-002"/>
    <x v="5"/>
    <x v="4"/>
    <n v="3"/>
    <n v="26990"/>
    <n v="0"/>
    <n v="80970"/>
    <n v="24270"/>
    <n v="0.29974064468321598"/>
  </r>
  <r>
    <s v="З-0332"/>
    <x v="221"/>
    <s v="Т-004"/>
    <x v="18"/>
    <x v="1"/>
    <n v="2"/>
    <n v="12990"/>
    <n v="0.06"/>
    <n v="24421.199999999997"/>
    <n v="9421.1999999999971"/>
    <n v="0.38577956857156886"/>
  </r>
  <r>
    <s v="З-0333"/>
    <x v="0"/>
    <s v="Т-007"/>
    <x v="7"/>
    <x v="4"/>
    <n v="3"/>
    <n v="64990"/>
    <n v="0"/>
    <n v="194970"/>
    <n v="51570"/>
    <n v="0.26450223111247884"/>
  </r>
  <r>
    <s v="З-0334"/>
    <x v="222"/>
    <s v="Т-017"/>
    <x v="10"/>
    <x v="5"/>
    <n v="3"/>
    <n v="79990"/>
    <n v="0"/>
    <n v="239970"/>
    <n v="63270"/>
    <n v="0.26365795724465557"/>
  </r>
  <r>
    <s v="З-0335"/>
    <x v="32"/>
    <s v="Т-019"/>
    <x v="6"/>
    <x v="4"/>
    <n v="2"/>
    <n v="12990"/>
    <n v="0"/>
    <n v="25980"/>
    <n v="8180"/>
    <n v="0.31485758275596615"/>
  </r>
  <r>
    <s v="З-0336"/>
    <x v="223"/>
    <s v="Т-006"/>
    <x v="3"/>
    <x v="3"/>
    <n v="1"/>
    <n v="8990"/>
    <n v="0"/>
    <n v="8990"/>
    <n v="3790"/>
    <n v="0.42157953281423804"/>
  </r>
  <r>
    <s v="З-0337"/>
    <x v="224"/>
    <s v="Т-002"/>
    <x v="5"/>
    <x v="4"/>
    <n v="3"/>
    <n v="26990"/>
    <n v="0"/>
    <n v="80970"/>
    <n v="24270"/>
    <n v="0.29974064468321598"/>
  </r>
  <r>
    <s v="З-0338"/>
    <x v="225"/>
    <s v="Т-007"/>
    <x v="7"/>
    <x v="4"/>
    <n v="2"/>
    <n v="64990"/>
    <n v="0"/>
    <n v="129980"/>
    <n v="34380"/>
    <n v="0.26450223111247884"/>
  </r>
  <r>
    <s v="З-0339"/>
    <x v="226"/>
    <s v="Т-003"/>
    <x v="13"/>
    <x v="6"/>
    <n v="3"/>
    <n v="890"/>
    <n v="0"/>
    <n v="2670"/>
    <n v="1320"/>
    <n v="0.4943820224719101"/>
  </r>
  <r>
    <s v="З-0340"/>
    <x v="227"/>
    <s v="Т-014"/>
    <x v="12"/>
    <x v="2"/>
    <n v="2"/>
    <n v="14990"/>
    <n v="0"/>
    <n v="29980"/>
    <n v="12780"/>
    <n v="0.42628418945963975"/>
  </r>
  <r>
    <s v="З-0341"/>
    <x v="77"/>
    <s v="Т-011"/>
    <x v="11"/>
    <x v="2"/>
    <n v="3"/>
    <n v="21990"/>
    <n v="0.15"/>
    <n v="56074.5"/>
    <n v="12574.5"/>
    <n v="0.22424631516999705"/>
  </r>
  <r>
    <s v="З-0342"/>
    <x v="228"/>
    <s v="Т-016"/>
    <x v="19"/>
    <x v="4"/>
    <n v="1"/>
    <n v="44990"/>
    <n v="0.08"/>
    <n v="41390.800000000003"/>
    <n v="8890.8000000000029"/>
    <n v="0.21480135682325546"/>
  </r>
  <r>
    <s v="З-0343"/>
    <x v="133"/>
    <s v="Т-017"/>
    <x v="10"/>
    <x v="5"/>
    <n v="2"/>
    <n v="79990"/>
    <n v="0"/>
    <n v="159980"/>
    <n v="42180"/>
    <n v="0.26365795724465557"/>
  </r>
  <r>
    <s v="З-0344"/>
    <x v="175"/>
    <s v="Т-013"/>
    <x v="14"/>
    <x v="4"/>
    <n v="1"/>
    <n v="39990"/>
    <n v="0.14000000000000001"/>
    <n v="34391.4"/>
    <n v="5891.4000000000015"/>
    <n v="0.17130445402048189"/>
  </r>
  <r>
    <s v="З-0345"/>
    <x v="18"/>
    <s v="Т-005"/>
    <x v="15"/>
    <x v="2"/>
    <n v="3"/>
    <n v="45990"/>
    <n v="0"/>
    <n v="137970"/>
    <n v="40770"/>
    <n v="0.29549902152641877"/>
  </r>
  <r>
    <s v="З-0346"/>
    <x v="216"/>
    <s v="Т-005"/>
    <x v="15"/>
    <x v="2"/>
    <n v="2"/>
    <n v="45990"/>
    <n v="0.12"/>
    <n v="80942.399999999994"/>
    <n v="16142.399999999994"/>
    <n v="0.1994307062800213"/>
  </r>
  <r>
    <s v="З-0347"/>
    <x v="18"/>
    <s v="Т-020"/>
    <x v="2"/>
    <x v="2"/>
    <n v="1"/>
    <n v="4990"/>
    <n v="0.08"/>
    <n v="4590.8"/>
    <n v="1390.8000000000002"/>
    <n v="0.30295373355406469"/>
  </r>
  <r>
    <s v="З-0348"/>
    <x v="229"/>
    <s v="Т-008"/>
    <x v="9"/>
    <x v="2"/>
    <n v="2"/>
    <n v="2490"/>
    <n v="0"/>
    <n v="4980"/>
    <n v="2580"/>
    <n v="0.51807228915662651"/>
  </r>
  <r>
    <s v="З-0349"/>
    <x v="102"/>
    <s v="Т-020"/>
    <x v="2"/>
    <x v="2"/>
    <n v="1"/>
    <n v="4990"/>
    <n v="0"/>
    <n v="4990"/>
    <n v="1790"/>
    <n v="0.3587174348697395"/>
  </r>
  <r>
    <s v="З-0350"/>
    <x v="230"/>
    <s v="Т-006"/>
    <x v="3"/>
    <x v="3"/>
    <n v="1"/>
    <n v="8990"/>
    <n v="0"/>
    <n v="8990"/>
    <n v="3790"/>
    <n v="0.42157953281423804"/>
  </r>
  <r>
    <s v="З-0351"/>
    <x v="55"/>
    <s v="Т-008"/>
    <x v="9"/>
    <x v="2"/>
    <n v="2"/>
    <n v="2490"/>
    <n v="0"/>
    <n v="4980"/>
    <n v="2580"/>
    <n v="0.51807228915662651"/>
  </r>
  <r>
    <s v="З-0352"/>
    <x v="35"/>
    <s v="Т-014"/>
    <x v="12"/>
    <x v="2"/>
    <n v="3"/>
    <n v="14990"/>
    <n v="0"/>
    <n v="44970"/>
    <n v="19170"/>
    <n v="0.42628418945963975"/>
  </r>
  <r>
    <s v="З-0353"/>
    <x v="91"/>
    <s v="Т-010"/>
    <x v="17"/>
    <x v="4"/>
    <n v="3"/>
    <n v="18990"/>
    <n v="0"/>
    <n v="56970"/>
    <n v="17370"/>
    <n v="0.30489731437598738"/>
  </r>
  <r>
    <s v="З-0354"/>
    <x v="58"/>
    <s v="Т-017"/>
    <x v="10"/>
    <x v="5"/>
    <n v="3"/>
    <n v="79990"/>
    <n v="0"/>
    <n v="239970"/>
    <n v="63270"/>
    <n v="0.26365795724465557"/>
  </r>
  <r>
    <s v="З-0355"/>
    <x v="231"/>
    <s v="Т-019"/>
    <x v="6"/>
    <x v="4"/>
    <n v="2"/>
    <n v="12990"/>
    <n v="0"/>
    <n v="25980"/>
    <n v="8180"/>
    <n v="0.31485758275596615"/>
  </r>
  <r>
    <s v="З-0356"/>
    <x v="232"/>
    <s v="Т-013"/>
    <x v="14"/>
    <x v="4"/>
    <n v="1"/>
    <n v="39990"/>
    <n v="0"/>
    <n v="39990"/>
    <n v="11490"/>
    <n v="0.28732183045761439"/>
  </r>
  <r>
    <s v="З-0357"/>
    <x v="233"/>
    <s v="Т-007"/>
    <x v="7"/>
    <x v="4"/>
    <n v="1"/>
    <n v="64990"/>
    <n v="0"/>
    <n v="64990"/>
    <n v="17190"/>
    <n v="0.26450223111247884"/>
  </r>
  <r>
    <s v="З-0358"/>
    <x v="234"/>
    <s v="Т-019"/>
    <x v="6"/>
    <x v="4"/>
    <n v="1"/>
    <n v="12990"/>
    <n v="0"/>
    <n v="12990"/>
    <n v="4090"/>
    <n v="0.31485758275596615"/>
  </r>
  <r>
    <s v="З-0359"/>
    <x v="85"/>
    <s v="Т-010"/>
    <x v="17"/>
    <x v="4"/>
    <n v="2"/>
    <n v="18990"/>
    <n v="0"/>
    <n v="37980"/>
    <n v="11580"/>
    <n v="0.30489731437598738"/>
  </r>
  <r>
    <s v="З-0360"/>
    <x v="234"/>
    <s v="Т-009"/>
    <x v="1"/>
    <x v="1"/>
    <n v="1"/>
    <n v="990"/>
    <n v="0"/>
    <n v="990"/>
    <n v="640"/>
    <n v="0.64646464646464652"/>
  </r>
  <r>
    <s v="З-0361"/>
    <x v="90"/>
    <s v="Т-019"/>
    <x v="6"/>
    <x v="4"/>
    <n v="3"/>
    <n v="12990"/>
    <n v="0"/>
    <n v="38970"/>
    <n v="12270"/>
    <n v="0.31485758275596615"/>
  </r>
  <r>
    <s v="З-0362"/>
    <x v="189"/>
    <s v="Т-002"/>
    <x v="5"/>
    <x v="4"/>
    <n v="3"/>
    <n v="26990"/>
    <n v="0"/>
    <n v="80970"/>
    <n v="24270"/>
    <n v="0.29974064468321598"/>
  </r>
  <r>
    <s v="З-0363"/>
    <x v="171"/>
    <s v="Т-001"/>
    <x v="4"/>
    <x v="4"/>
    <n v="3"/>
    <n v="29990"/>
    <n v="0.15"/>
    <n v="76474.5"/>
    <n v="11974.5"/>
    <n v="0.1565816056332503"/>
  </r>
  <r>
    <s v="З-0364"/>
    <x v="218"/>
    <s v="Т-020"/>
    <x v="2"/>
    <x v="2"/>
    <n v="1"/>
    <n v="4990"/>
    <n v="0"/>
    <n v="4990"/>
    <n v="1790"/>
    <n v="0.3587174348697395"/>
  </r>
  <r>
    <s v="З-0365"/>
    <x v="235"/>
    <s v="Т-003"/>
    <x v="13"/>
    <x v="6"/>
    <n v="3"/>
    <n v="890"/>
    <n v="0"/>
    <n v="2670"/>
    <n v="1320"/>
    <n v="0.4943820224719101"/>
  </r>
  <r>
    <s v="З-0366"/>
    <x v="97"/>
    <s v="Т-016"/>
    <x v="19"/>
    <x v="4"/>
    <n v="3"/>
    <n v="44990"/>
    <n v="0.1"/>
    <n v="121473"/>
    <n v="23973"/>
    <n v="0.19735249808599442"/>
  </r>
  <r>
    <s v="З-0367"/>
    <x v="236"/>
    <s v="Т-014"/>
    <x v="12"/>
    <x v="2"/>
    <n v="3"/>
    <n v="14990"/>
    <n v="0.1"/>
    <n v="40473"/>
    <n v="14673"/>
    <n v="0.3625379882884886"/>
  </r>
  <r>
    <s v="З-0368"/>
    <x v="174"/>
    <s v="Т-010"/>
    <x v="17"/>
    <x v="4"/>
    <n v="2"/>
    <n v="18990"/>
    <n v="0"/>
    <n v="37980"/>
    <n v="11580"/>
    <n v="0.30489731437598738"/>
  </r>
  <r>
    <s v="З-0369"/>
    <x v="100"/>
    <s v="Т-006"/>
    <x v="3"/>
    <x v="3"/>
    <n v="1"/>
    <n v="8990"/>
    <n v="0"/>
    <n v="8990"/>
    <n v="3790"/>
    <n v="0.42157953281423804"/>
  </r>
  <r>
    <s v="З-0370"/>
    <x v="237"/>
    <s v="Т-010"/>
    <x v="17"/>
    <x v="4"/>
    <n v="2"/>
    <n v="18990"/>
    <n v="0"/>
    <n v="37980"/>
    <n v="11580"/>
    <n v="0.30489731437598738"/>
  </r>
  <r>
    <s v="З-0371"/>
    <x v="238"/>
    <s v="Т-006"/>
    <x v="3"/>
    <x v="3"/>
    <n v="2"/>
    <n v="8990"/>
    <n v="0"/>
    <n v="17980"/>
    <n v="7580"/>
    <n v="0.42157953281423804"/>
  </r>
  <r>
    <s v="З-0372"/>
    <x v="135"/>
    <s v="Т-005"/>
    <x v="15"/>
    <x v="2"/>
    <n v="2"/>
    <n v="45990"/>
    <n v="0"/>
    <n v="91980"/>
    <n v="27180"/>
    <n v="0.29549902152641877"/>
  </r>
  <r>
    <s v="З-0373"/>
    <x v="7"/>
    <s v="Т-012"/>
    <x v="0"/>
    <x v="0"/>
    <n v="3"/>
    <n v="3490"/>
    <n v="0"/>
    <n v="10470"/>
    <n v="5070"/>
    <n v="0.48424068767908307"/>
  </r>
  <r>
    <s v="З-0374"/>
    <x v="201"/>
    <s v="Т-016"/>
    <x v="19"/>
    <x v="4"/>
    <n v="2"/>
    <n v="44990"/>
    <n v="0"/>
    <n v="89980"/>
    <n v="24980"/>
    <n v="0.27761724827739498"/>
  </r>
  <r>
    <s v="З-0375"/>
    <x v="239"/>
    <s v="Т-007"/>
    <x v="7"/>
    <x v="4"/>
    <n v="2"/>
    <n v="64990"/>
    <n v="0"/>
    <n v="129980"/>
    <n v="34380"/>
    <n v="0.26450223111247884"/>
  </r>
  <r>
    <s v="З-0376"/>
    <x v="70"/>
    <s v="Т-018"/>
    <x v="8"/>
    <x v="0"/>
    <n v="1"/>
    <n v="7590"/>
    <n v="0"/>
    <n v="7590"/>
    <n v="3390"/>
    <n v="0.44664031620553357"/>
  </r>
  <r>
    <s v="З-0377"/>
    <x v="55"/>
    <s v="Т-005"/>
    <x v="15"/>
    <x v="2"/>
    <n v="3"/>
    <n v="45990"/>
    <n v="0"/>
    <n v="137970"/>
    <n v="40770"/>
    <n v="0.29549902152641877"/>
  </r>
  <r>
    <s v="З-0378"/>
    <x v="38"/>
    <s v="Т-005"/>
    <x v="15"/>
    <x v="2"/>
    <n v="1"/>
    <n v="45990"/>
    <n v="0"/>
    <n v="45990"/>
    <n v="13590"/>
    <n v="0.29549902152641877"/>
  </r>
  <r>
    <s v="З-0379"/>
    <x v="240"/>
    <s v="Т-019"/>
    <x v="6"/>
    <x v="4"/>
    <n v="1"/>
    <n v="12990"/>
    <n v="0"/>
    <n v="12990"/>
    <n v="4090"/>
    <n v="0.31485758275596615"/>
  </r>
  <r>
    <s v="З-0380"/>
    <x v="241"/>
    <s v="Т-019"/>
    <x v="6"/>
    <x v="4"/>
    <n v="2"/>
    <n v="12990"/>
    <n v="0"/>
    <n v="25980"/>
    <n v="8180"/>
    <n v="0.31485758275596615"/>
  </r>
  <r>
    <s v="З-0381"/>
    <x v="242"/>
    <s v="Т-001"/>
    <x v="4"/>
    <x v="4"/>
    <n v="2"/>
    <n v="29990"/>
    <n v="0.14000000000000001"/>
    <n v="51582.799999999996"/>
    <n v="8582.7999999999956"/>
    <n v="0.16638879626542175"/>
  </r>
  <r>
    <s v="З-0382"/>
    <x v="186"/>
    <s v="Т-002"/>
    <x v="5"/>
    <x v="4"/>
    <n v="2"/>
    <n v="26990"/>
    <n v="0"/>
    <n v="53980"/>
    <n v="16180"/>
    <n v="0.29974064468321598"/>
  </r>
  <r>
    <s v="З-0383"/>
    <x v="148"/>
    <s v="Т-020"/>
    <x v="2"/>
    <x v="2"/>
    <n v="3"/>
    <n v="4990"/>
    <n v="0.06"/>
    <n v="14071.8"/>
    <n v="4471.7999999999984"/>
    <n v="0.31778450518057383"/>
  </r>
  <r>
    <s v="З-0384"/>
    <x v="60"/>
    <s v="Т-020"/>
    <x v="2"/>
    <x v="2"/>
    <n v="1"/>
    <n v="4990"/>
    <n v="0"/>
    <n v="4990"/>
    <n v="1790"/>
    <n v="0.3587174348697395"/>
  </r>
  <r>
    <s v="З-0385"/>
    <x v="100"/>
    <s v="Т-010"/>
    <x v="17"/>
    <x v="4"/>
    <n v="3"/>
    <n v="18990"/>
    <n v="0"/>
    <n v="56970"/>
    <n v="17370"/>
    <n v="0.30489731437598738"/>
  </r>
  <r>
    <s v="З-0386"/>
    <x v="18"/>
    <s v="Т-004"/>
    <x v="18"/>
    <x v="1"/>
    <n v="2"/>
    <n v="12990"/>
    <n v="0"/>
    <n v="25980"/>
    <n v="10980"/>
    <n v="0.42263279445727481"/>
  </r>
  <r>
    <s v="З-0387"/>
    <x v="86"/>
    <s v="Т-011"/>
    <x v="11"/>
    <x v="2"/>
    <n v="3"/>
    <n v="21990"/>
    <n v="0"/>
    <n v="65970"/>
    <n v="22470"/>
    <n v="0.34060936789449747"/>
  </r>
  <r>
    <s v="З-0388"/>
    <x v="129"/>
    <s v="Т-015"/>
    <x v="16"/>
    <x v="1"/>
    <n v="3"/>
    <n v="5990"/>
    <n v="0"/>
    <n v="17970"/>
    <n v="9270"/>
    <n v="0.5158597662771286"/>
  </r>
  <r>
    <s v="З-0389"/>
    <x v="243"/>
    <s v="Т-016"/>
    <x v="19"/>
    <x v="4"/>
    <n v="2"/>
    <n v="44990"/>
    <n v="0"/>
    <n v="89980"/>
    <n v="24980"/>
    <n v="0.27761724827739498"/>
  </r>
  <r>
    <s v="З-0390"/>
    <x v="244"/>
    <s v="Т-007"/>
    <x v="7"/>
    <x v="4"/>
    <n v="3"/>
    <n v="64990"/>
    <n v="0.13"/>
    <n v="169623.9"/>
    <n v="26223.900000000009"/>
    <n v="0.15460026564652746"/>
  </r>
  <r>
    <s v="З-0391"/>
    <x v="210"/>
    <s v="Т-001"/>
    <x v="4"/>
    <x v="4"/>
    <n v="3"/>
    <n v="29990"/>
    <n v="0"/>
    <n v="89970"/>
    <n v="25470"/>
    <n v="0.28309436478826278"/>
  </r>
  <r>
    <s v="З-0392"/>
    <x v="210"/>
    <s v="Т-001"/>
    <x v="4"/>
    <x v="4"/>
    <n v="2"/>
    <n v="29990"/>
    <n v="0"/>
    <n v="59980"/>
    <n v="16980"/>
    <n v="0.28309436478826278"/>
  </r>
  <r>
    <s v="З-0393"/>
    <x v="119"/>
    <s v="Т-019"/>
    <x v="6"/>
    <x v="4"/>
    <n v="2"/>
    <n v="12990"/>
    <n v="0"/>
    <n v="25980"/>
    <n v="8180"/>
    <n v="0.31485758275596615"/>
  </r>
  <r>
    <s v="З-0394"/>
    <x v="69"/>
    <s v="Т-004"/>
    <x v="18"/>
    <x v="1"/>
    <n v="3"/>
    <n v="12990"/>
    <n v="0"/>
    <n v="38970"/>
    <n v="16470"/>
    <n v="0.42263279445727481"/>
  </r>
  <r>
    <s v="З-0395"/>
    <x v="90"/>
    <s v="Т-005"/>
    <x v="15"/>
    <x v="2"/>
    <n v="1"/>
    <n v="45990"/>
    <n v="0"/>
    <n v="45990"/>
    <n v="13590"/>
    <n v="0.29549902152641877"/>
  </r>
  <r>
    <s v="З-0396"/>
    <x v="38"/>
    <s v="Т-008"/>
    <x v="9"/>
    <x v="2"/>
    <n v="1"/>
    <n v="2490"/>
    <n v="0"/>
    <n v="2490"/>
    <n v="1290"/>
    <n v="0.51807228915662651"/>
  </r>
  <r>
    <s v="З-0397"/>
    <x v="26"/>
    <s v="Т-007"/>
    <x v="7"/>
    <x v="4"/>
    <n v="1"/>
    <n v="64990"/>
    <n v="0"/>
    <n v="64990"/>
    <n v="17190"/>
    <n v="0.26450223111247884"/>
  </r>
  <r>
    <s v="З-0398"/>
    <x v="245"/>
    <s v="Т-020"/>
    <x v="2"/>
    <x v="2"/>
    <n v="1"/>
    <n v="4990"/>
    <n v="0"/>
    <n v="4990"/>
    <n v="1790"/>
    <n v="0.3587174348697395"/>
  </r>
  <r>
    <s v="З-0399"/>
    <x v="89"/>
    <s v="Т-019"/>
    <x v="6"/>
    <x v="4"/>
    <n v="1"/>
    <n v="12990"/>
    <n v="0"/>
    <n v="12990"/>
    <n v="4090"/>
    <n v="0.31485758275596615"/>
  </r>
  <r>
    <s v="З-0400"/>
    <x v="96"/>
    <s v="Т-003"/>
    <x v="13"/>
    <x v="6"/>
    <n v="1"/>
    <n v="890"/>
    <n v="0.15"/>
    <n v="756.5"/>
    <n v="306.5"/>
    <n v="0.40515532055518838"/>
  </r>
  <r>
    <s v="З-0401"/>
    <x v="246"/>
    <s v="Т-014"/>
    <x v="12"/>
    <x v="2"/>
    <n v="3"/>
    <n v="14990"/>
    <n v="0"/>
    <n v="44970"/>
    <n v="19170"/>
    <n v="0.42628418945963975"/>
  </r>
  <r>
    <s v="З-0402"/>
    <x v="121"/>
    <s v="Т-012"/>
    <x v="0"/>
    <x v="0"/>
    <n v="3"/>
    <n v="3490"/>
    <n v="0"/>
    <n v="10470"/>
    <n v="5070"/>
    <n v="0.48424068767908307"/>
  </r>
  <r>
    <s v="З-0403"/>
    <x v="188"/>
    <s v="Т-011"/>
    <x v="11"/>
    <x v="2"/>
    <n v="1"/>
    <n v="21990"/>
    <n v="0.06"/>
    <n v="20670.599999999999"/>
    <n v="6170.5999999999985"/>
    <n v="0.2985206041430824"/>
  </r>
  <r>
    <s v="З-0404"/>
    <x v="106"/>
    <s v="Т-019"/>
    <x v="6"/>
    <x v="4"/>
    <n v="1"/>
    <n v="12990"/>
    <n v="7.0000000000000007E-2"/>
    <n v="12080.699999999999"/>
    <n v="3180.6999999999989"/>
    <n v="0.26328772339351192"/>
  </r>
  <r>
    <s v="З-0405"/>
    <x v="247"/>
    <s v="Т-005"/>
    <x v="15"/>
    <x v="2"/>
    <n v="2"/>
    <n v="45990"/>
    <n v="0"/>
    <n v="91980"/>
    <n v="27180"/>
    <n v="0.29549902152641877"/>
  </r>
  <r>
    <s v="З-0406"/>
    <x v="216"/>
    <s v="Т-002"/>
    <x v="5"/>
    <x v="4"/>
    <n v="3"/>
    <n v="26990"/>
    <n v="0"/>
    <n v="80970"/>
    <n v="24270"/>
    <n v="0.29974064468321598"/>
  </r>
  <r>
    <s v="З-0407"/>
    <x v="121"/>
    <s v="Т-002"/>
    <x v="5"/>
    <x v="4"/>
    <n v="3"/>
    <n v="26990"/>
    <n v="0"/>
    <n v="80970"/>
    <n v="24270"/>
    <n v="0.29974064468321598"/>
  </r>
  <r>
    <s v="З-0408"/>
    <x v="119"/>
    <s v="Т-018"/>
    <x v="8"/>
    <x v="0"/>
    <n v="2"/>
    <n v="7590"/>
    <n v="0"/>
    <n v="15180"/>
    <n v="6780"/>
    <n v="0.44664031620553357"/>
  </r>
  <r>
    <s v="З-0409"/>
    <x v="247"/>
    <s v="Т-005"/>
    <x v="15"/>
    <x v="2"/>
    <n v="1"/>
    <n v="45990"/>
    <n v="0"/>
    <n v="45990"/>
    <n v="13590"/>
    <n v="0.29549902152641877"/>
  </r>
  <r>
    <s v="З-0410"/>
    <x v="28"/>
    <s v="Т-007"/>
    <x v="7"/>
    <x v="4"/>
    <n v="2"/>
    <n v="64990"/>
    <n v="0"/>
    <n v="129980"/>
    <n v="34380"/>
    <n v="0.26450223111247884"/>
  </r>
  <r>
    <s v="З-0411"/>
    <x v="248"/>
    <s v="Т-013"/>
    <x v="14"/>
    <x v="4"/>
    <n v="3"/>
    <n v="39990"/>
    <n v="0"/>
    <n v="119970"/>
    <n v="34470"/>
    <n v="0.28732183045761439"/>
  </r>
  <r>
    <s v="З-0412"/>
    <x v="59"/>
    <s v="Т-004"/>
    <x v="18"/>
    <x v="1"/>
    <n v="3"/>
    <n v="12990"/>
    <n v="0"/>
    <n v="38970"/>
    <n v="16470"/>
    <n v="0.42263279445727481"/>
  </r>
  <r>
    <s v="З-0413"/>
    <x v="238"/>
    <s v="Т-005"/>
    <x v="15"/>
    <x v="2"/>
    <n v="1"/>
    <n v="45990"/>
    <n v="0"/>
    <n v="45990"/>
    <n v="13590"/>
    <n v="0.29549902152641877"/>
  </r>
  <r>
    <s v="З-0414"/>
    <x v="45"/>
    <s v="Т-004"/>
    <x v="18"/>
    <x v="1"/>
    <n v="3"/>
    <n v="12990"/>
    <n v="0"/>
    <n v="38970"/>
    <n v="16470"/>
    <n v="0.42263279445727481"/>
  </r>
  <r>
    <s v="З-0415"/>
    <x v="249"/>
    <s v="Т-008"/>
    <x v="9"/>
    <x v="2"/>
    <n v="3"/>
    <n v="2490"/>
    <n v="0"/>
    <n v="7470"/>
    <n v="3870"/>
    <n v="0.51807228915662651"/>
  </r>
  <r>
    <s v="З-0416"/>
    <x v="90"/>
    <s v="Т-011"/>
    <x v="11"/>
    <x v="2"/>
    <n v="3"/>
    <n v="21990"/>
    <n v="0"/>
    <n v="65970"/>
    <n v="22470"/>
    <n v="0.34060936789449747"/>
  </r>
  <r>
    <s v="З-0417"/>
    <x v="134"/>
    <s v="Т-020"/>
    <x v="2"/>
    <x v="2"/>
    <n v="1"/>
    <n v="4990"/>
    <n v="0"/>
    <n v="4990"/>
    <n v="1790"/>
    <n v="0.3587174348697395"/>
  </r>
  <r>
    <s v="З-0418"/>
    <x v="250"/>
    <s v="Т-005"/>
    <x v="15"/>
    <x v="2"/>
    <n v="1"/>
    <n v="45990"/>
    <n v="0"/>
    <n v="45990"/>
    <n v="13590"/>
    <n v="0.29549902152641877"/>
  </r>
  <r>
    <s v="З-0419"/>
    <x v="40"/>
    <s v="Т-002"/>
    <x v="5"/>
    <x v="4"/>
    <n v="3"/>
    <n v="26990"/>
    <n v="0"/>
    <n v="80970"/>
    <n v="24270"/>
    <n v="0.29974064468321598"/>
  </r>
  <r>
    <s v="З-0420"/>
    <x v="251"/>
    <s v="Т-017"/>
    <x v="10"/>
    <x v="5"/>
    <n v="2"/>
    <n v="79990"/>
    <n v="0"/>
    <n v="159980"/>
    <n v="42180"/>
    <n v="0.26365795724465557"/>
  </r>
  <r>
    <s v="З-0421"/>
    <x v="252"/>
    <s v="Т-005"/>
    <x v="15"/>
    <x v="2"/>
    <n v="3"/>
    <n v="45990"/>
    <n v="0"/>
    <n v="137970"/>
    <n v="40770"/>
    <n v="0.29549902152641877"/>
  </r>
  <r>
    <s v="З-0422"/>
    <x v="9"/>
    <s v="Т-018"/>
    <x v="8"/>
    <x v="0"/>
    <n v="3"/>
    <n v="7590"/>
    <n v="0"/>
    <n v="22770"/>
    <n v="10170"/>
    <n v="0.44664031620553357"/>
  </r>
  <r>
    <s v="З-0423"/>
    <x v="240"/>
    <s v="Т-010"/>
    <x v="17"/>
    <x v="4"/>
    <n v="3"/>
    <n v="18990"/>
    <n v="0"/>
    <n v="56970"/>
    <n v="17370"/>
    <n v="0.30489731437598738"/>
  </r>
  <r>
    <s v="З-0424"/>
    <x v="253"/>
    <s v="Т-018"/>
    <x v="8"/>
    <x v="0"/>
    <n v="1"/>
    <n v="7590"/>
    <n v="0"/>
    <n v="7590"/>
    <n v="3390"/>
    <n v="0.44664031620553357"/>
  </r>
  <r>
    <s v="З-0425"/>
    <x v="219"/>
    <s v="Т-020"/>
    <x v="2"/>
    <x v="2"/>
    <n v="3"/>
    <n v="4990"/>
    <n v="0"/>
    <n v="14970"/>
    <n v="5370"/>
    <n v="0.3587174348697395"/>
  </r>
  <r>
    <s v="З-0426"/>
    <x v="197"/>
    <s v="Т-020"/>
    <x v="2"/>
    <x v="2"/>
    <n v="1"/>
    <n v="4990"/>
    <n v="0"/>
    <n v="4990"/>
    <n v="1790"/>
    <n v="0.3587174348697395"/>
  </r>
  <r>
    <s v="З-0427"/>
    <x v="76"/>
    <s v="Т-013"/>
    <x v="14"/>
    <x v="4"/>
    <n v="2"/>
    <n v="39990"/>
    <n v="0"/>
    <n v="79980"/>
    <n v="22980"/>
    <n v="0.28732183045761439"/>
  </r>
  <r>
    <s v="З-0428"/>
    <x v="254"/>
    <s v="Т-007"/>
    <x v="7"/>
    <x v="4"/>
    <n v="1"/>
    <n v="64990"/>
    <n v="0"/>
    <n v="64990"/>
    <n v="17190"/>
    <n v="0.26450223111247884"/>
  </r>
  <r>
    <s v="З-0429"/>
    <x v="104"/>
    <s v="Т-001"/>
    <x v="4"/>
    <x v="4"/>
    <n v="1"/>
    <n v="29990"/>
    <n v="0"/>
    <n v="29990"/>
    <n v="8490"/>
    <n v="0.28309436478826278"/>
  </r>
  <r>
    <s v="З-0430"/>
    <x v="3"/>
    <s v="Т-009"/>
    <x v="1"/>
    <x v="1"/>
    <n v="1"/>
    <n v="990"/>
    <n v="7.0000000000000007E-2"/>
    <n v="920.69999999999993"/>
    <n v="570.69999999999993"/>
    <n v="0.6198544585641359"/>
  </r>
  <r>
    <s v="З-0431"/>
    <x v="255"/>
    <s v="Т-015"/>
    <x v="16"/>
    <x v="1"/>
    <n v="2"/>
    <n v="5990"/>
    <n v="0"/>
    <n v="11980"/>
    <n v="6180"/>
    <n v="0.5158597662771286"/>
  </r>
  <r>
    <s v="З-0432"/>
    <x v="256"/>
    <s v="Т-009"/>
    <x v="1"/>
    <x v="1"/>
    <n v="2"/>
    <n v="990"/>
    <n v="0"/>
    <n v="1980"/>
    <n v="1280"/>
    <n v="0.64646464646464652"/>
  </r>
  <r>
    <s v="З-0433"/>
    <x v="257"/>
    <s v="Т-003"/>
    <x v="13"/>
    <x v="6"/>
    <n v="2"/>
    <n v="890"/>
    <n v="0"/>
    <n v="1780"/>
    <n v="880"/>
    <n v="0.4943820224719101"/>
  </r>
  <r>
    <s v="З-0434"/>
    <x v="258"/>
    <s v="Т-011"/>
    <x v="11"/>
    <x v="2"/>
    <n v="1"/>
    <n v="21990"/>
    <n v="0.14000000000000001"/>
    <n v="18911.400000000001"/>
    <n v="4411.4000000000015"/>
    <n v="0.23326670685406692"/>
  </r>
  <r>
    <s v="З-0435"/>
    <x v="192"/>
    <s v="Т-007"/>
    <x v="7"/>
    <x v="4"/>
    <n v="2"/>
    <n v="64990"/>
    <n v="0"/>
    <n v="129980"/>
    <n v="34380"/>
    <n v="0.26450223111247884"/>
  </r>
  <r>
    <s v="З-0436"/>
    <x v="234"/>
    <s v="Т-006"/>
    <x v="3"/>
    <x v="3"/>
    <n v="3"/>
    <n v="8990"/>
    <n v="0.12"/>
    <n v="23733.599999999999"/>
    <n v="8133.5999999999995"/>
    <n v="0.34270401456163413"/>
  </r>
  <r>
    <s v="З-0437"/>
    <x v="54"/>
    <s v="Т-006"/>
    <x v="3"/>
    <x v="3"/>
    <n v="2"/>
    <n v="8990"/>
    <n v="0"/>
    <n v="17980"/>
    <n v="7580"/>
    <n v="0.42157953281423804"/>
  </r>
  <r>
    <s v="З-0438"/>
    <x v="129"/>
    <s v="Т-016"/>
    <x v="19"/>
    <x v="4"/>
    <n v="1"/>
    <n v="44990"/>
    <n v="0"/>
    <n v="44990"/>
    <n v="12490"/>
    <n v="0.27761724827739498"/>
  </r>
  <r>
    <s v="З-0439"/>
    <x v="132"/>
    <s v="Т-012"/>
    <x v="0"/>
    <x v="0"/>
    <n v="3"/>
    <n v="3490"/>
    <n v="0"/>
    <n v="10470"/>
    <n v="5070"/>
    <n v="0.48424068767908307"/>
  </r>
  <r>
    <s v="З-0440"/>
    <x v="5"/>
    <s v="Т-007"/>
    <x v="7"/>
    <x v="4"/>
    <n v="1"/>
    <n v="64990"/>
    <n v="0"/>
    <n v="64990"/>
    <n v="17190"/>
    <n v="0.26450223111247884"/>
  </r>
  <r>
    <s v="З-0441"/>
    <x v="123"/>
    <s v="Т-001"/>
    <x v="4"/>
    <x v="4"/>
    <n v="1"/>
    <n v="29990"/>
    <n v="0"/>
    <n v="29990"/>
    <n v="8490"/>
    <n v="0.28309436478826278"/>
  </r>
  <r>
    <s v="З-0442"/>
    <x v="259"/>
    <s v="Т-013"/>
    <x v="14"/>
    <x v="4"/>
    <n v="3"/>
    <n v="39990"/>
    <n v="0"/>
    <n v="119970"/>
    <n v="34470"/>
    <n v="0.28732183045761439"/>
  </r>
  <r>
    <s v="З-0443"/>
    <x v="48"/>
    <s v="Т-018"/>
    <x v="8"/>
    <x v="0"/>
    <n v="2"/>
    <n v="7590"/>
    <n v="0"/>
    <n v="15180"/>
    <n v="6780"/>
    <n v="0.44664031620553357"/>
  </r>
  <r>
    <s v="З-0444"/>
    <x v="70"/>
    <s v="Т-012"/>
    <x v="0"/>
    <x v="0"/>
    <n v="3"/>
    <n v="3490"/>
    <n v="0"/>
    <n v="10470"/>
    <n v="5070"/>
    <n v="0.48424068767908307"/>
  </r>
  <r>
    <s v="З-0445"/>
    <x v="65"/>
    <s v="Т-003"/>
    <x v="13"/>
    <x v="6"/>
    <n v="2"/>
    <n v="890"/>
    <n v="0.08"/>
    <n v="1637.6000000000001"/>
    <n v="737.60000000000014"/>
    <n v="0.45041524181729364"/>
  </r>
  <r>
    <s v="З-0446"/>
    <x v="34"/>
    <s v="Т-006"/>
    <x v="3"/>
    <x v="3"/>
    <n v="3"/>
    <n v="8990"/>
    <n v="0"/>
    <n v="26970"/>
    <n v="11370"/>
    <n v="0.42157953281423804"/>
  </r>
  <r>
    <s v="З-0447"/>
    <x v="83"/>
    <s v="Т-007"/>
    <x v="7"/>
    <x v="4"/>
    <n v="3"/>
    <n v="64990"/>
    <n v="0"/>
    <n v="194970"/>
    <n v="51570"/>
    <n v="0.26450223111247884"/>
  </r>
  <r>
    <s v="З-0448"/>
    <x v="104"/>
    <s v="Т-010"/>
    <x v="17"/>
    <x v="4"/>
    <n v="2"/>
    <n v="18990"/>
    <n v="0"/>
    <n v="37980"/>
    <n v="11580"/>
    <n v="0.30489731437598738"/>
  </r>
  <r>
    <s v="З-0449"/>
    <x v="256"/>
    <s v="Т-016"/>
    <x v="19"/>
    <x v="4"/>
    <n v="1"/>
    <n v="44990"/>
    <n v="0"/>
    <n v="44990"/>
    <n v="12490"/>
    <n v="0.27761724827739498"/>
  </r>
  <r>
    <s v="З-0450"/>
    <x v="198"/>
    <s v="Т-016"/>
    <x v="19"/>
    <x v="4"/>
    <n v="3"/>
    <n v="44990"/>
    <n v="0"/>
    <n v="134970"/>
    <n v="37470"/>
    <n v="0.27761724827739498"/>
  </r>
  <r>
    <s v="З-0451"/>
    <x v="260"/>
    <s v="Т-014"/>
    <x v="12"/>
    <x v="2"/>
    <n v="2"/>
    <n v="14990"/>
    <n v="0"/>
    <n v="29980"/>
    <n v="12780"/>
    <n v="0.42628418945963975"/>
  </r>
  <r>
    <s v="З-0452"/>
    <x v="255"/>
    <s v="Т-015"/>
    <x v="16"/>
    <x v="1"/>
    <n v="1"/>
    <n v="5990"/>
    <n v="0"/>
    <n v="5990"/>
    <n v="3090"/>
    <n v="0.5158597662771286"/>
  </r>
  <r>
    <s v="З-0453"/>
    <x v="3"/>
    <s v="Т-013"/>
    <x v="14"/>
    <x v="4"/>
    <n v="3"/>
    <n v="39990"/>
    <n v="0"/>
    <n v="119970"/>
    <n v="34470"/>
    <n v="0.28732183045761439"/>
  </r>
  <r>
    <s v="З-0454"/>
    <x v="78"/>
    <s v="Т-003"/>
    <x v="13"/>
    <x v="6"/>
    <n v="3"/>
    <n v="890"/>
    <n v="0.13"/>
    <n v="2322.9"/>
    <n v="972.89999999999986"/>
    <n v="0.41882991088725291"/>
  </r>
  <r>
    <s v="З-0455"/>
    <x v="114"/>
    <s v="Т-015"/>
    <x v="16"/>
    <x v="1"/>
    <n v="3"/>
    <n v="5990"/>
    <n v="0"/>
    <n v="17970"/>
    <n v="9270"/>
    <n v="0.5158597662771286"/>
  </r>
  <r>
    <s v="З-0456"/>
    <x v="261"/>
    <s v="Т-019"/>
    <x v="6"/>
    <x v="4"/>
    <n v="1"/>
    <n v="12990"/>
    <n v="0"/>
    <n v="12990"/>
    <n v="4090"/>
    <n v="0.31485758275596615"/>
  </r>
  <r>
    <s v="З-0457"/>
    <x v="168"/>
    <s v="Т-001"/>
    <x v="4"/>
    <x v="4"/>
    <n v="2"/>
    <n v="29990"/>
    <n v="0"/>
    <n v="59980"/>
    <n v="16980"/>
    <n v="0.28309436478826278"/>
  </r>
  <r>
    <s v="З-0458"/>
    <x v="262"/>
    <s v="Т-014"/>
    <x v="12"/>
    <x v="2"/>
    <n v="3"/>
    <n v="14990"/>
    <n v="0"/>
    <n v="44970"/>
    <n v="19170"/>
    <n v="0.42628418945963975"/>
  </r>
  <r>
    <s v="З-0459"/>
    <x v="87"/>
    <s v="Т-019"/>
    <x v="6"/>
    <x v="4"/>
    <n v="2"/>
    <n v="12990"/>
    <n v="0"/>
    <n v="25980"/>
    <n v="8180"/>
    <n v="0.31485758275596615"/>
  </r>
  <r>
    <s v="З-0460"/>
    <x v="165"/>
    <s v="Т-008"/>
    <x v="9"/>
    <x v="2"/>
    <n v="2"/>
    <n v="2490"/>
    <n v="0"/>
    <n v="4980"/>
    <n v="2580"/>
    <n v="0.51807228915662651"/>
  </r>
  <r>
    <s v="З-0461"/>
    <x v="237"/>
    <s v="Т-012"/>
    <x v="0"/>
    <x v="0"/>
    <n v="3"/>
    <n v="3490"/>
    <n v="0"/>
    <n v="10470"/>
    <n v="5070"/>
    <n v="0.48424068767908307"/>
  </r>
  <r>
    <s v="З-0462"/>
    <x v="199"/>
    <s v="Т-015"/>
    <x v="16"/>
    <x v="1"/>
    <n v="1"/>
    <n v="5990"/>
    <n v="0"/>
    <n v="5990"/>
    <n v="3090"/>
    <n v="0.5158597662771286"/>
  </r>
  <r>
    <s v="З-0463"/>
    <x v="263"/>
    <s v="Т-003"/>
    <x v="13"/>
    <x v="6"/>
    <n v="1"/>
    <n v="890"/>
    <n v="0.13"/>
    <n v="774.3"/>
    <n v="324.29999999999995"/>
    <n v="0.41882991088725297"/>
  </r>
  <r>
    <s v="З-0464"/>
    <x v="178"/>
    <s v="Т-016"/>
    <x v="19"/>
    <x v="4"/>
    <n v="2"/>
    <n v="44990"/>
    <n v="0"/>
    <n v="89980"/>
    <n v="24980"/>
    <n v="0.27761724827739498"/>
  </r>
  <r>
    <s v="З-0465"/>
    <x v="128"/>
    <s v="Т-012"/>
    <x v="0"/>
    <x v="0"/>
    <n v="1"/>
    <n v="3490"/>
    <n v="0"/>
    <n v="3490"/>
    <n v="1690"/>
    <n v="0.48424068767908307"/>
  </r>
  <r>
    <s v="З-0466"/>
    <x v="196"/>
    <s v="Т-001"/>
    <x v="4"/>
    <x v="4"/>
    <n v="2"/>
    <n v="29990"/>
    <n v="0"/>
    <n v="59980"/>
    <n v="16980"/>
    <n v="0.28309436478826278"/>
  </r>
  <r>
    <s v="З-0467"/>
    <x v="27"/>
    <s v="Т-003"/>
    <x v="13"/>
    <x v="6"/>
    <n v="1"/>
    <n v="890"/>
    <n v="0"/>
    <n v="890"/>
    <n v="440"/>
    <n v="0.4943820224719101"/>
  </r>
  <r>
    <s v="З-0468"/>
    <x v="224"/>
    <s v="Т-002"/>
    <x v="5"/>
    <x v="4"/>
    <n v="1"/>
    <n v="26990"/>
    <n v="0"/>
    <n v="26990"/>
    <n v="8090"/>
    <n v="0.29974064468321598"/>
  </r>
  <r>
    <s v="З-0469"/>
    <x v="105"/>
    <s v="Т-016"/>
    <x v="19"/>
    <x v="4"/>
    <n v="3"/>
    <n v="44990"/>
    <n v="0.15"/>
    <n v="114724.5"/>
    <n v="17224.5"/>
    <n v="0.15013793914987644"/>
  </r>
  <r>
    <s v="З-0470"/>
    <x v="169"/>
    <s v="Т-003"/>
    <x v="13"/>
    <x v="6"/>
    <n v="1"/>
    <n v="890"/>
    <n v="0"/>
    <n v="890"/>
    <n v="440"/>
    <n v="0.4943820224719101"/>
  </r>
  <r>
    <s v="З-0471"/>
    <x v="68"/>
    <s v="Т-007"/>
    <x v="7"/>
    <x v="4"/>
    <n v="2"/>
    <n v="64990"/>
    <n v="0"/>
    <n v="129980"/>
    <n v="34380"/>
    <n v="0.26450223111247884"/>
  </r>
  <r>
    <s v="З-0472"/>
    <x v="172"/>
    <s v="Т-009"/>
    <x v="1"/>
    <x v="1"/>
    <n v="1"/>
    <n v="990"/>
    <n v="0.05"/>
    <n v="940.5"/>
    <n v="590.5"/>
    <n v="0.62785752259436467"/>
  </r>
  <r>
    <s v="З-0473"/>
    <x v="4"/>
    <s v="Т-003"/>
    <x v="13"/>
    <x v="6"/>
    <n v="1"/>
    <n v="890"/>
    <n v="0"/>
    <n v="890"/>
    <n v="440"/>
    <n v="0.4943820224719101"/>
  </r>
  <r>
    <s v="З-0474"/>
    <x v="176"/>
    <s v="Т-012"/>
    <x v="0"/>
    <x v="0"/>
    <n v="2"/>
    <n v="3490"/>
    <n v="0"/>
    <n v="6980"/>
    <n v="3380"/>
    <n v="0.48424068767908307"/>
  </r>
  <r>
    <s v="З-0475"/>
    <x v="166"/>
    <s v="Т-014"/>
    <x v="12"/>
    <x v="2"/>
    <n v="1"/>
    <n v="14990"/>
    <n v="0"/>
    <n v="14990"/>
    <n v="6390"/>
    <n v="0.42628418945963975"/>
  </r>
  <r>
    <s v="З-0476"/>
    <x v="195"/>
    <s v="Т-010"/>
    <x v="17"/>
    <x v="4"/>
    <n v="3"/>
    <n v="18990"/>
    <n v="0"/>
    <n v="56970"/>
    <n v="17370"/>
    <n v="0.30489731437598738"/>
  </r>
  <r>
    <s v="З-0477"/>
    <x v="264"/>
    <s v="Т-001"/>
    <x v="4"/>
    <x v="4"/>
    <n v="1"/>
    <n v="29990"/>
    <n v="0"/>
    <n v="29990"/>
    <n v="8490"/>
    <n v="0.28309436478826278"/>
  </r>
  <r>
    <s v="З-0478"/>
    <x v="265"/>
    <s v="Т-015"/>
    <x v="16"/>
    <x v="1"/>
    <n v="1"/>
    <n v="5990"/>
    <n v="0"/>
    <n v="5990"/>
    <n v="3090"/>
    <n v="0.5158597662771286"/>
  </r>
  <r>
    <s v="З-0479"/>
    <x v="69"/>
    <s v="Т-004"/>
    <x v="18"/>
    <x v="1"/>
    <n v="2"/>
    <n v="12990"/>
    <n v="0"/>
    <n v="25980"/>
    <n v="10980"/>
    <n v="0.42263279445727481"/>
  </r>
  <r>
    <s v="З-0480"/>
    <x v="226"/>
    <s v="Т-017"/>
    <x v="10"/>
    <x v="5"/>
    <n v="2"/>
    <n v="79990"/>
    <n v="0"/>
    <n v="159980"/>
    <n v="42180"/>
    <n v="0.26365795724465557"/>
  </r>
  <r>
    <s v="З-0481"/>
    <x v="95"/>
    <s v="Т-008"/>
    <x v="9"/>
    <x v="2"/>
    <n v="1"/>
    <n v="2490"/>
    <n v="0"/>
    <n v="2490"/>
    <n v="1290"/>
    <n v="0.51807228915662651"/>
  </r>
  <r>
    <s v="З-0482"/>
    <x v="107"/>
    <s v="Т-010"/>
    <x v="17"/>
    <x v="4"/>
    <n v="1"/>
    <n v="18990"/>
    <n v="0"/>
    <n v="18990"/>
    <n v="5790"/>
    <n v="0.30489731437598738"/>
  </r>
  <r>
    <s v="З-0483"/>
    <x v="139"/>
    <s v="Т-001"/>
    <x v="4"/>
    <x v="4"/>
    <n v="1"/>
    <n v="29990"/>
    <n v="0"/>
    <n v="29990"/>
    <n v="8490"/>
    <n v="0.28309436478826278"/>
  </r>
  <r>
    <s v="З-0484"/>
    <x v="261"/>
    <s v="Т-009"/>
    <x v="1"/>
    <x v="1"/>
    <n v="1"/>
    <n v="990"/>
    <n v="0"/>
    <n v="990"/>
    <n v="640"/>
    <n v="0.64646464646464652"/>
  </r>
  <r>
    <s v="З-0485"/>
    <x v="206"/>
    <s v="Т-007"/>
    <x v="7"/>
    <x v="4"/>
    <n v="1"/>
    <n v="64990"/>
    <n v="0"/>
    <n v="64990"/>
    <n v="17190"/>
    <n v="0.26450223111247884"/>
  </r>
  <r>
    <s v="З-0486"/>
    <x v="197"/>
    <s v="Т-019"/>
    <x v="6"/>
    <x v="4"/>
    <n v="1"/>
    <n v="12990"/>
    <n v="0"/>
    <n v="12990"/>
    <n v="4090"/>
    <n v="0.31485758275596615"/>
  </r>
  <r>
    <s v="З-0487"/>
    <x v="238"/>
    <s v="Т-014"/>
    <x v="12"/>
    <x v="2"/>
    <n v="2"/>
    <n v="14990"/>
    <n v="0"/>
    <n v="29980"/>
    <n v="12780"/>
    <n v="0.42628418945963975"/>
  </r>
  <r>
    <s v="З-0488"/>
    <x v="266"/>
    <s v="Т-017"/>
    <x v="10"/>
    <x v="5"/>
    <n v="3"/>
    <n v="79990"/>
    <n v="0"/>
    <n v="239970"/>
    <n v="63270"/>
    <n v="0.26365795724465557"/>
  </r>
  <r>
    <s v="З-0489"/>
    <x v="0"/>
    <s v="Т-002"/>
    <x v="5"/>
    <x v="4"/>
    <n v="1"/>
    <n v="26990"/>
    <n v="0"/>
    <n v="26990"/>
    <n v="8090"/>
    <n v="0.29974064468321598"/>
  </r>
  <r>
    <s v="З-0490"/>
    <x v="209"/>
    <s v="Т-019"/>
    <x v="6"/>
    <x v="4"/>
    <n v="3"/>
    <n v="12990"/>
    <n v="0"/>
    <n v="38970"/>
    <n v="12270"/>
    <n v="0.31485758275596615"/>
  </r>
  <r>
    <s v="З-0491"/>
    <x v="58"/>
    <s v="Т-012"/>
    <x v="0"/>
    <x v="0"/>
    <n v="2"/>
    <n v="3490"/>
    <n v="0"/>
    <n v="6980"/>
    <n v="3380"/>
    <n v="0.48424068767908307"/>
  </r>
  <r>
    <s v="З-0492"/>
    <x v="56"/>
    <s v="Т-014"/>
    <x v="12"/>
    <x v="2"/>
    <n v="1"/>
    <n v="14990"/>
    <n v="0"/>
    <n v="14990"/>
    <n v="6390"/>
    <n v="0.42628418945963975"/>
  </r>
  <r>
    <s v="З-0493"/>
    <x v="212"/>
    <s v="Т-002"/>
    <x v="5"/>
    <x v="4"/>
    <n v="2"/>
    <n v="26990"/>
    <n v="0"/>
    <n v="53980"/>
    <n v="16180"/>
    <n v="0.29974064468321598"/>
  </r>
  <r>
    <s v="З-0494"/>
    <x v="206"/>
    <s v="Т-017"/>
    <x v="10"/>
    <x v="5"/>
    <n v="2"/>
    <n v="79990"/>
    <n v="0"/>
    <n v="159980"/>
    <n v="42180"/>
    <n v="0.26365795724465557"/>
  </r>
  <r>
    <s v="З-0495"/>
    <x v="235"/>
    <s v="Т-017"/>
    <x v="10"/>
    <x v="5"/>
    <n v="2"/>
    <n v="79990"/>
    <n v="0"/>
    <n v="159980"/>
    <n v="42180"/>
    <n v="0.26365795724465557"/>
  </r>
  <r>
    <s v="З-0496"/>
    <x v="135"/>
    <s v="Т-020"/>
    <x v="2"/>
    <x v="2"/>
    <n v="1"/>
    <n v="4990"/>
    <n v="0"/>
    <n v="4990"/>
    <n v="1790"/>
    <n v="0.3587174348697395"/>
  </r>
  <r>
    <s v="З-0497"/>
    <x v="267"/>
    <s v="Т-018"/>
    <x v="8"/>
    <x v="0"/>
    <n v="3"/>
    <n v="7590"/>
    <n v="0.06"/>
    <n v="21403.8"/>
    <n v="8803.7999999999993"/>
    <n v="0.41131948532503571"/>
  </r>
  <r>
    <s v="З-0498"/>
    <x v="212"/>
    <s v="Т-009"/>
    <x v="1"/>
    <x v="1"/>
    <n v="2"/>
    <n v="990"/>
    <n v="0"/>
    <n v="1980"/>
    <n v="1280"/>
    <n v="0.64646464646464652"/>
  </r>
  <r>
    <s v="З-0499"/>
    <x v="268"/>
    <s v="Т-010"/>
    <x v="17"/>
    <x v="4"/>
    <n v="2"/>
    <n v="18990"/>
    <n v="0"/>
    <n v="37980"/>
    <n v="11580"/>
    <n v="0.30489731437598738"/>
  </r>
  <r>
    <s v="З-0500"/>
    <x v="96"/>
    <s v="Т-002"/>
    <x v="5"/>
    <x v="4"/>
    <n v="2"/>
    <n v="26990"/>
    <n v="0"/>
    <n v="53980"/>
    <n v="16180"/>
    <n v="0.299740644683215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05251-AEAD-4161-A570-7B8C230D77A9}" name="Сводная таблица6" cacheId="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outline="1" outlineData="1" multipleFieldFilters="0" chartFormat="3" rowHeaderCaption="Товар">
  <location ref="A14:B20" firstHeaderRow="1" firstDataRow="1" firstDataCol="1"/>
  <pivotFields count="13">
    <pivotField showAll="0"/>
    <pivotField numFmtId="14" showAll="0">
      <items count="270">
        <item x="261"/>
        <item x="124"/>
        <item x="144"/>
        <item x="231"/>
        <item x="196"/>
        <item x="74"/>
        <item x="143"/>
        <item x="114"/>
        <item x="248"/>
        <item x="63"/>
        <item x="134"/>
        <item x="216"/>
        <item x="173"/>
        <item x="175"/>
        <item x="240"/>
        <item x="229"/>
        <item x="54"/>
        <item x="130"/>
        <item x="113"/>
        <item x="206"/>
        <item x="99"/>
        <item x="23"/>
        <item x="197"/>
        <item x="245"/>
        <item x="151"/>
        <item x="188"/>
        <item x="72"/>
        <item x="109"/>
        <item x="117"/>
        <item x="12"/>
        <item x="103"/>
        <item x="191"/>
        <item x="257"/>
        <item x="9"/>
        <item x="127"/>
        <item x="156"/>
        <item x="260"/>
        <item x="198"/>
        <item x="258"/>
        <item x="128"/>
        <item x="66"/>
        <item x="193"/>
        <item x="121"/>
        <item x="61"/>
        <item x="139"/>
        <item x="33"/>
        <item x="184"/>
        <item x="179"/>
        <item x="208"/>
        <item x="211"/>
        <item x="80"/>
        <item x="170"/>
        <item x="73"/>
        <item x="159"/>
        <item x="60"/>
        <item x="48"/>
        <item x="253"/>
        <item x="264"/>
        <item x="111"/>
        <item x="100"/>
        <item x="39"/>
        <item x="232"/>
        <item x="215"/>
        <item x="242"/>
        <item x="97"/>
        <item x="110"/>
        <item x="172"/>
        <item x="19"/>
        <item x="30"/>
        <item x="13"/>
        <item x="209"/>
        <item x="244"/>
        <item x="85"/>
        <item x="219"/>
        <item x="190"/>
        <item x="67"/>
        <item x="42"/>
        <item x="213"/>
        <item x="199"/>
        <item x="249"/>
        <item x="194"/>
        <item x="20"/>
        <item x="251"/>
        <item x="32"/>
        <item x="96"/>
        <item x="140"/>
        <item x="265"/>
        <item x="105"/>
        <item x="43"/>
        <item x="165"/>
        <item x="181"/>
        <item x="119"/>
        <item x="207"/>
        <item x="250"/>
        <item x="200"/>
        <item x="46"/>
        <item x="88"/>
        <item x="225"/>
        <item x="149"/>
        <item x="185"/>
        <item x="146"/>
        <item x="220"/>
        <item x="5"/>
        <item x="106"/>
        <item x="1"/>
        <item x="186"/>
        <item x="236"/>
        <item x="142"/>
        <item x="164"/>
        <item x="35"/>
        <item x="153"/>
        <item x="89"/>
        <item x="22"/>
        <item x="203"/>
        <item x="168"/>
        <item x="3"/>
        <item x="69"/>
        <item x="70"/>
        <item x="171"/>
        <item x="126"/>
        <item x="158"/>
        <item x="51"/>
        <item x="92"/>
        <item x="218"/>
        <item x="101"/>
        <item x="108"/>
        <item x="233"/>
        <item x="78"/>
        <item x="167"/>
        <item x="50"/>
        <item x="212"/>
        <item x="262"/>
        <item x="104"/>
        <item x="201"/>
        <item x="252"/>
        <item x="166"/>
        <item x="137"/>
        <item x="157"/>
        <item x="182"/>
        <item x="217"/>
        <item x="148"/>
        <item x="136"/>
        <item x="37"/>
        <item x="120"/>
        <item x="18"/>
        <item x="81"/>
        <item x="53"/>
        <item x="49"/>
        <item x="246"/>
        <item x="266"/>
        <item x="162"/>
        <item x="189"/>
        <item x="247"/>
        <item x="267"/>
        <item x="227"/>
        <item x="24"/>
        <item x="47"/>
        <item x="187"/>
        <item x="123"/>
        <item x="163"/>
        <item x="223"/>
        <item x="87"/>
        <item x="71"/>
        <item x="214"/>
        <item x="180"/>
        <item x="64"/>
        <item x="150"/>
        <item x="145"/>
        <item x="75"/>
        <item x="84"/>
        <item x="202"/>
        <item x="241"/>
        <item x="14"/>
        <item x="6"/>
        <item x="155"/>
        <item x="38"/>
        <item x="34"/>
        <item x="4"/>
        <item x="94"/>
        <item x="131"/>
        <item x="31"/>
        <item x="178"/>
        <item x="138"/>
        <item x="221"/>
        <item x="41"/>
        <item x="161"/>
        <item x="152"/>
        <item x="98"/>
        <item x="26"/>
        <item x="235"/>
        <item x="195"/>
        <item x="2"/>
        <item x="226"/>
        <item x="28"/>
        <item x="90"/>
        <item x="56"/>
        <item x="254"/>
        <item x="141"/>
        <item x="116"/>
        <item x="115"/>
        <item x="10"/>
        <item x="210"/>
        <item x="237"/>
        <item x="91"/>
        <item x="259"/>
        <item x="55"/>
        <item x="169"/>
        <item x="44"/>
        <item x="102"/>
        <item x="59"/>
        <item x="263"/>
        <item x="93"/>
        <item x="228"/>
        <item x="125"/>
        <item x="95"/>
        <item x="58"/>
        <item x="79"/>
        <item x="174"/>
        <item x="176"/>
        <item x="65"/>
        <item x="15"/>
        <item x="192"/>
        <item x="118"/>
        <item x="76"/>
        <item x="129"/>
        <item x="204"/>
        <item x="7"/>
        <item x="8"/>
        <item x="154"/>
        <item x="268"/>
        <item x="205"/>
        <item x="25"/>
        <item x="243"/>
        <item x="238"/>
        <item x="0"/>
        <item x="224"/>
        <item x="132"/>
        <item x="255"/>
        <item x="133"/>
        <item x="256"/>
        <item x="11"/>
        <item x="234"/>
        <item x="45"/>
        <item x="160"/>
        <item x="77"/>
        <item x="82"/>
        <item x="86"/>
        <item x="17"/>
        <item x="107"/>
        <item x="177"/>
        <item x="21"/>
        <item x="222"/>
        <item x="57"/>
        <item x="83"/>
        <item x="122"/>
        <item x="36"/>
        <item x="135"/>
        <item x="112"/>
        <item x="239"/>
        <item x="147"/>
        <item x="183"/>
        <item x="29"/>
        <item x="16"/>
        <item x="68"/>
        <item x="40"/>
        <item x="27"/>
        <item x="52"/>
        <item x="230"/>
        <item x="62"/>
        <item t="default"/>
      </items>
    </pivotField>
    <pivotField showAll="0"/>
    <pivotField axis="axisRow" showAll="0" measureFilter="1" sortType="descending">
      <items count="21">
        <item x="10"/>
        <item x="16"/>
        <item x="2"/>
        <item x="13"/>
        <item x="15"/>
        <item x="11"/>
        <item x="3"/>
        <item x="18"/>
        <item x="6"/>
        <item x="17"/>
        <item x="12"/>
        <item x="5"/>
        <item x="7"/>
        <item x="19"/>
        <item x="0"/>
        <item x="4"/>
        <item x="8"/>
        <item x="14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2"/>
        <item x="6"/>
        <item x="3"/>
        <item x="1"/>
        <item x="5"/>
        <item x="4"/>
        <item t="default"/>
      </items>
    </pivotField>
    <pivotField showAll="0"/>
    <pivotField numFmtId="164" showAll="0"/>
    <pivotField numFmtId="9" showAll="0"/>
    <pivotField numFmtId="164" showAll="0"/>
    <pivotField dataField="1" numFmtId="164" showAll="0"/>
    <pivotField numFmtId="165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2"/>
    </i>
    <i>
      <x v="4"/>
    </i>
    <i>
      <x v="17"/>
    </i>
    <i>
      <x v="11"/>
    </i>
    <i t="grand">
      <x/>
    </i>
  </rowItems>
  <colItems count="1">
    <i/>
  </colItems>
  <dataFields count="1">
    <dataField name="Прибыль, Р" fld="9" baseField="3" baseItem="0" numFmtId="164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5">
            <x v="0"/>
            <x v="4"/>
            <x v="11"/>
            <x v="12"/>
            <x v="17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5">
            <x v="0"/>
            <x v="4"/>
            <x v="11"/>
            <x v="12"/>
            <x v="17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5">
            <x v="0"/>
            <x v="4"/>
            <x v="11"/>
            <x v="12"/>
            <x v="1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3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FE1EA-C351-44B0-8A6C-8A6C961FD5FE}" name="Сводная таблица5" cacheId="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outline="1" outlineData="1" multipleFieldFilters="0" chartFormat="3" rowHeaderCaption="Категория">
  <location ref="A3:B11" firstHeaderRow="1" firstDataRow="1" firstDataCol="1"/>
  <pivotFields count="13">
    <pivotField showAll="0"/>
    <pivotField numFmtId="14" showAll="0">
      <items count="270">
        <item x="261"/>
        <item x="124"/>
        <item x="144"/>
        <item x="231"/>
        <item x="196"/>
        <item x="74"/>
        <item x="143"/>
        <item x="114"/>
        <item x="248"/>
        <item x="63"/>
        <item x="134"/>
        <item x="216"/>
        <item x="173"/>
        <item x="175"/>
        <item x="240"/>
        <item x="229"/>
        <item x="54"/>
        <item x="130"/>
        <item x="113"/>
        <item x="206"/>
        <item x="99"/>
        <item x="23"/>
        <item x="197"/>
        <item x="245"/>
        <item x="151"/>
        <item x="188"/>
        <item x="72"/>
        <item x="109"/>
        <item x="117"/>
        <item x="12"/>
        <item x="103"/>
        <item x="191"/>
        <item x="257"/>
        <item x="9"/>
        <item x="127"/>
        <item x="156"/>
        <item x="260"/>
        <item x="198"/>
        <item x="258"/>
        <item x="128"/>
        <item x="66"/>
        <item x="193"/>
        <item x="121"/>
        <item x="61"/>
        <item x="139"/>
        <item x="33"/>
        <item x="184"/>
        <item x="179"/>
        <item x="208"/>
        <item x="211"/>
        <item x="80"/>
        <item x="170"/>
        <item x="73"/>
        <item x="159"/>
        <item x="60"/>
        <item x="48"/>
        <item x="253"/>
        <item x="264"/>
        <item x="111"/>
        <item x="100"/>
        <item x="39"/>
        <item x="232"/>
        <item x="215"/>
        <item x="242"/>
        <item x="97"/>
        <item x="110"/>
        <item x="172"/>
        <item x="19"/>
        <item x="30"/>
        <item x="13"/>
        <item x="209"/>
        <item x="244"/>
        <item x="85"/>
        <item x="219"/>
        <item x="190"/>
        <item x="67"/>
        <item x="42"/>
        <item x="213"/>
        <item x="199"/>
        <item x="249"/>
        <item x="194"/>
        <item x="20"/>
        <item x="251"/>
        <item x="32"/>
        <item x="96"/>
        <item x="140"/>
        <item x="265"/>
        <item x="105"/>
        <item x="43"/>
        <item x="165"/>
        <item x="181"/>
        <item x="119"/>
        <item x="207"/>
        <item x="250"/>
        <item x="200"/>
        <item x="46"/>
        <item x="88"/>
        <item x="225"/>
        <item x="149"/>
        <item x="185"/>
        <item x="146"/>
        <item x="220"/>
        <item x="5"/>
        <item x="106"/>
        <item x="1"/>
        <item x="186"/>
        <item x="236"/>
        <item x="142"/>
        <item x="164"/>
        <item x="35"/>
        <item x="153"/>
        <item x="89"/>
        <item x="22"/>
        <item x="203"/>
        <item x="168"/>
        <item x="3"/>
        <item x="69"/>
        <item x="70"/>
        <item x="171"/>
        <item x="126"/>
        <item x="158"/>
        <item x="51"/>
        <item x="92"/>
        <item x="218"/>
        <item x="101"/>
        <item x="108"/>
        <item x="233"/>
        <item x="78"/>
        <item x="167"/>
        <item x="50"/>
        <item x="212"/>
        <item x="262"/>
        <item x="104"/>
        <item x="201"/>
        <item x="252"/>
        <item x="166"/>
        <item x="137"/>
        <item x="157"/>
        <item x="182"/>
        <item x="217"/>
        <item x="148"/>
        <item x="136"/>
        <item x="37"/>
        <item x="120"/>
        <item x="18"/>
        <item x="81"/>
        <item x="53"/>
        <item x="49"/>
        <item x="246"/>
        <item x="266"/>
        <item x="162"/>
        <item x="189"/>
        <item x="247"/>
        <item x="267"/>
        <item x="227"/>
        <item x="24"/>
        <item x="47"/>
        <item x="187"/>
        <item x="123"/>
        <item x="163"/>
        <item x="223"/>
        <item x="87"/>
        <item x="71"/>
        <item x="214"/>
        <item x="180"/>
        <item x="64"/>
        <item x="150"/>
        <item x="145"/>
        <item x="75"/>
        <item x="84"/>
        <item x="202"/>
        <item x="241"/>
        <item x="14"/>
        <item x="6"/>
        <item x="155"/>
        <item x="38"/>
        <item x="34"/>
        <item x="4"/>
        <item x="94"/>
        <item x="131"/>
        <item x="31"/>
        <item x="178"/>
        <item x="138"/>
        <item x="221"/>
        <item x="41"/>
        <item x="161"/>
        <item x="152"/>
        <item x="98"/>
        <item x="26"/>
        <item x="235"/>
        <item x="195"/>
        <item x="2"/>
        <item x="226"/>
        <item x="28"/>
        <item x="90"/>
        <item x="56"/>
        <item x="254"/>
        <item x="141"/>
        <item x="116"/>
        <item x="115"/>
        <item x="10"/>
        <item x="210"/>
        <item x="237"/>
        <item x="91"/>
        <item x="259"/>
        <item x="55"/>
        <item x="169"/>
        <item x="44"/>
        <item x="102"/>
        <item x="59"/>
        <item x="263"/>
        <item x="93"/>
        <item x="228"/>
        <item x="125"/>
        <item x="95"/>
        <item x="58"/>
        <item x="79"/>
        <item x="174"/>
        <item x="176"/>
        <item x="65"/>
        <item x="15"/>
        <item x="192"/>
        <item x="118"/>
        <item x="76"/>
        <item x="129"/>
        <item x="204"/>
        <item x="7"/>
        <item x="8"/>
        <item x="154"/>
        <item x="268"/>
        <item x="205"/>
        <item x="25"/>
        <item x="243"/>
        <item x="238"/>
        <item x="0"/>
        <item x="224"/>
        <item x="132"/>
        <item x="255"/>
        <item x="133"/>
        <item x="256"/>
        <item x="11"/>
        <item x="234"/>
        <item x="45"/>
        <item x="160"/>
        <item x="77"/>
        <item x="82"/>
        <item x="86"/>
        <item x="17"/>
        <item x="107"/>
        <item x="177"/>
        <item x="21"/>
        <item x="222"/>
        <item x="57"/>
        <item x="83"/>
        <item x="122"/>
        <item x="36"/>
        <item x="135"/>
        <item x="112"/>
        <item x="239"/>
        <item x="147"/>
        <item x="183"/>
        <item x="29"/>
        <item x="16"/>
        <item x="68"/>
        <item x="40"/>
        <item x="27"/>
        <item x="52"/>
        <item x="230"/>
        <item x="62"/>
        <item t="default"/>
      </items>
    </pivotField>
    <pivotField showAll="0"/>
    <pivotField showAll="0"/>
    <pivotField axis="axisRow" showAll="0">
      <items count="8">
        <item x="0"/>
        <item x="2"/>
        <item x="6"/>
        <item x="3"/>
        <item x="1"/>
        <item x="5"/>
        <item x="4"/>
        <item t="default"/>
      </items>
    </pivotField>
    <pivotField showAll="0"/>
    <pivotField numFmtId="164" showAll="0"/>
    <pivotField numFmtId="9" showAll="0"/>
    <pivotField numFmtId="164" showAll="0"/>
    <pivotField dataField="1" numFmtId="164" showAll="0"/>
    <pivotField numFmtId="165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Прибыль, Р" fld="9" baseField="4" baseItem="0" numFmtId="164"/>
  </dataFields>
  <formats count="20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4" type="button" dataOnly="0" labelOnly="1" outline="0" axis="axisRow" fieldPosition="0"/>
    </format>
    <format dxfId="28">
      <pivotArea dataOnly="0" labelOnly="1" fieldPosition="0">
        <references count="1">
          <reference field="4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4" type="button" dataOnly="0" labelOnly="1" outline="0" axis="axisRow" fieldPosition="0"/>
    </format>
    <format dxfId="22">
      <pivotArea dataOnly="0" labelOnly="1" fieldPosition="0">
        <references count="1">
          <reference field="4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dataOnly="0" fieldPosition="0">
        <references count="1">
          <reference field="4" count="0"/>
        </references>
      </pivotArea>
    </format>
    <format dxfId="18">
      <pivotArea dataOnly="0" fieldPosition="0">
        <references count="1">
          <reference field="4" count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65070-1CF5-4624-A5F8-296A9BCFF96A}" name="Сводная таблица4" cacheId="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outline="1" outlineData="1" multipleFieldFilters="0" chartFormat="4" rowHeaderCaption="Дата">
  <location ref="D3:E16" firstHeaderRow="1" firstDataRow="1" firstDataCol="1"/>
  <pivotFields count="13">
    <pivotField showAll="0"/>
    <pivotField axis="axisRow" numFmtId="14" showAll="0">
      <items count="270">
        <item x="261"/>
        <item x="124"/>
        <item x="144"/>
        <item x="231"/>
        <item x="196"/>
        <item x="74"/>
        <item x="143"/>
        <item x="114"/>
        <item x="248"/>
        <item x="63"/>
        <item x="134"/>
        <item x="216"/>
        <item x="173"/>
        <item x="175"/>
        <item x="240"/>
        <item x="229"/>
        <item x="54"/>
        <item x="130"/>
        <item x="113"/>
        <item x="206"/>
        <item x="99"/>
        <item x="23"/>
        <item x="197"/>
        <item x="245"/>
        <item x="151"/>
        <item x="188"/>
        <item x="72"/>
        <item x="109"/>
        <item x="117"/>
        <item x="12"/>
        <item x="103"/>
        <item x="191"/>
        <item x="257"/>
        <item x="9"/>
        <item x="127"/>
        <item x="156"/>
        <item x="260"/>
        <item x="198"/>
        <item x="258"/>
        <item x="128"/>
        <item x="66"/>
        <item x="193"/>
        <item x="121"/>
        <item x="61"/>
        <item x="139"/>
        <item x="33"/>
        <item x="184"/>
        <item x="179"/>
        <item x="208"/>
        <item x="211"/>
        <item x="80"/>
        <item x="170"/>
        <item x="73"/>
        <item x="159"/>
        <item x="60"/>
        <item x="48"/>
        <item x="253"/>
        <item x="264"/>
        <item x="111"/>
        <item x="100"/>
        <item x="39"/>
        <item x="232"/>
        <item x="215"/>
        <item x="242"/>
        <item x="97"/>
        <item x="110"/>
        <item x="172"/>
        <item x="19"/>
        <item x="30"/>
        <item x="13"/>
        <item x="209"/>
        <item x="244"/>
        <item x="85"/>
        <item x="219"/>
        <item x="190"/>
        <item x="67"/>
        <item x="42"/>
        <item x="213"/>
        <item x="199"/>
        <item x="249"/>
        <item x="194"/>
        <item x="20"/>
        <item x="251"/>
        <item x="32"/>
        <item x="96"/>
        <item x="140"/>
        <item x="265"/>
        <item x="105"/>
        <item x="43"/>
        <item x="165"/>
        <item x="181"/>
        <item x="119"/>
        <item x="207"/>
        <item x="250"/>
        <item x="200"/>
        <item x="46"/>
        <item x="88"/>
        <item x="225"/>
        <item x="149"/>
        <item x="185"/>
        <item x="146"/>
        <item x="220"/>
        <item x="5"/>
        <item x="106"/>
        <item x="1"/>
        <item x="186"/>
        <item x="236"/>
        <item x="142"/>
        <item x="164"/>
        <item x="35"/>
        <item x="153"/>
        <item x="89"/>
        <item x="22"/>
        <item x="203"/>
        <item x="168"/>
        <item x="3"/>
        <item x="69"/>
        <item x="70"/>
        <item x="171"/>
        <item x="126"/>
        <item x="158"/>
        <item x="51"/>
        <item x="92"/>
        <item x="218"/>
        <item x="101"/>
        <item x="108"/>
        <item x="233"/>
        <item x="78"/>
        <item x="167"/>
        <item x="50"/>
        <item x="212"/>
        <item x="262"/>
        <item x="104"/>
        <item x="201"/>
        <item x="252"/>
        <item x="166"/>
        <item x="137"/>
        <item x="157"/>
        <item x="182"/>
        <item x="217"/>
        <item x="148"/>
        <item x="136"/>
        <item x="37"/>
        <item x="120"/>
        <item x="18"/>
        <item x="81"/>
        <item x="53"/>
        <item x="49"/>
        <item x="246"/>
        <item x="266"/>
        <item x="162"/>
        <item x="189"/>
        <item x="247"/>
        <item x="267"/>
        <item x="227"/>
        <item x="24"/>
        <item x="47"/>
        <item x="187"/>
        <item x="123"/>
        <item x="163"/>
        <item x="223"/>
        <item x="87"/>
        <item x="71"/>
        <item x="214"/>
        <item x="180"/>
        <item x="64"/>
        <item x="150"/>
        <item x="145"/>
        <item x="75"/>
        <item x="84"/>
        <item x="202"/>
        <item x="241"/>
        <item x="14"/>
        <item x="6"/>
        <item x="155"/>
        <item x="38"/>
        <item x="34"/>
        <item x="4"/>
        <item x="94"/>
        <item x="131"/>
        <item x="31"/>
        <item x="178"/>
        <item x="138"/>
        <item x="221"/>
        <item x="41"/>
        <item x="161"/>
        <item x="152"/>
        <item x="98"/>
        <item x="26"/>
        <item x="235"/>
        <item x="195"/>
        <item x="2"/>
        <item x="226"/>
        <item x="28"/>
        <item x="90"/>
        <item x="56"/>
        <item x="254"/>
        <item x="141"/>
        <item x="116"/>
        <item x="115"/>
        <item x="10"/>
        <item x="210"/>
        <item x="237"/>
        <item x="91"/>
        <item x="259"/>
        <item x="55"/>
        <item x="169"/>
        <item x="44"/>
        <item x="102"/>
        <item x="59"/>
        <item x="263"/>
        <item x="93"/>
        <item x="228"/>
        <item x="125"/>
        <item x="95"/>
        <item x="58"/>
        <item x="79"/>
        <item x="174"/>
        <item x="176"/>
        <item x="65"/>
        <item x="15"/>
        <item x="192"/>
        <item x="118"/>
        <item x="76"/>
        <item x="129"/>
        <item x="204"/>
        <item x="7"/>
        <item x="8"/>
        <item x="154"/>
        <item x="268"/>
        <item x="205"/>
        <item x="25"/>
        <item x="243"/>
        <item x="238"/>
        <item x="0"/>
        <item x="224"/>
        <item x="132"/>
        <item x="255"/>
        <item x="133"/>
        <item x="256"/>
        <item x="11"/>
        <item x="234"/>
        <item x="45"/>
        <item x="160"/>
        <item x="77"/>
        <item x="82"/>
        <item x="86"/>
        <item x="17"/>
        <item x="107"/>
        <item x="177"/>
        <item x="21"/>
        <item x="222"/>
        <item x="57"/>
        <item x="83"/>
        <item x="122"/>
        <item x="36"/>
        <item x="135"/>
        <item x="112"/>
        <item x="239"/>
        <item x="147"/>
        <item x="183"/>
        <item x="29"/>
        <item x="16"/>
        <item x="68"/>
        <item x="40"/>
        <item x="27"/>
        <item x="52"/>
        <item x="230"/>
        <item x="62"/>
        <item t="default"/>
      </items>
    </pivotField>
    <pivotField showAll="0"/>
    <pivotField showAll="0"/>
    <pivotField showAll="0">
      <items count="8">
        <item x="0"/>
        <item x="2"/>
        <item x="6"/>
        <item x="3"/>
        <item x="1"/>
        <item x="5"/>
        <item x="4"/>
        <item t="default"/>
      </items>
    </pivotField>
    <pivotField showAll="0"/>
    <pivotField numFmtId="164" showAll="0"/>
    <pivotField numFmtId="9" showAll="0"/>
    <pivotField dataField="1" numFmtId="164" showAll="0"/>
    <pivotField numFmtId="164" showAll="0"/>
    <pivotField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Выручка, Р" fld="8" baseField="12" baseItem="1" numFmtId="164"/>
  </dataFields>
  <formats count="18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2" type="button" dataOnly="0" labelOnly="1" outline="0" axis="axisRow" fieldPosition="0"/>
    </format>
    <format dxfId="52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2" type="button" dataOnly="0" labelOnly="1" outline="0" axis="axisRow" fieldPosition="0"/>
    </format>
    <format dxfId="46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2" type="button" dataOnly="0" labelOnly="1" outline="0" axis="axisRow" fieldPosition="0"/>
    </format>
    <format dxfId="40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1" type="dateBetween" evalOrder="-1" id="48" name="Дата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тегория" xr10:uid="{64E805C0-2022-4A9E-84A3-BB7B648C0AE4}" sourceName="Категория">
  <pivotTables>
    <pivotTable tabId="5" name="Сводная таблица5"/>
    <pivotTable tabId="5" name="Сводная таблица4"/>
    <pivotTable tabId="5" name="Сводная таблица6"/>
  </pivotTables>
  <data>
    <tabular pivotCacheId="219011024">
      <items count="7">
        <i x="0" s="1"/>
        <i x="2" s="1"/>
        <i x="6" s="1"/>
        <i x="3" s="1"/>
        <i x="1" s="1"/>
        <i x="5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атегория" xr10:uid="{D480E4E1-F23A-4772-A70F-ED01F018659B}" cache="Срез_Категория" caption="Категория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F2C49B-9E87-47BE-8FB9-A4482AEFB595}" name="ТаблицаПродажи" displayName="ТаблицаПродажи" ref="A1:K501" totalsRowShown="0" headerRowDxfId="78" dataDxfId="77">
  <autoFilter ref="A1:K501" xr:uid="{D4F2C49B-9E87-47BE-8FB9-A4482AEFB595}"/>
  <tableColumns count="11">
    <tableColumn id="1" xr3:uid="{28AF9EB2-B6AE-429E-9A0D-5775DF8E7CCF}" name="ID заказа" dataDxfId="76"/>
    <tableColumn id="2" xr3:uid="{0FC04F06-4797-462D-8AB3-EF601EB32FCD}" name="Дата" dataDxfId="75"/>
    <tableColumn id="3" xr3:uid="{0B974020-10AB-4B02-A564-0E4FA6DE1553}" name="ID товара" dataDxfId="74"/>
    <tableColumn id="15" xr3:uid="{D1F9C715-A719-483D-9C33-9FD15D8484A7}" name="Название товара" dataDxfId="73">
      <calculatedColumnFormula>_xlfn.XLOOKUP(C2, ТаблицаТовары[ID товара], ТаблицаТовары[Название])</calculatedColumnFormula>
    </tableColumn>
    <tableColumn id="10" xr3:uid="{96FB7304-47E6-435E-BA2C-B97A11C64540}" name="Категория" dataDxfId="72">
      <calculatedColumnFormula>_xlfn.XLOOKUP(C2,ТаблицаТовары[ID товара],ТаблицаТовары[Категория])</calculatedColumnFormula>
    </tableColumn>
    <tableColumn id="4" xr3:uid="{0B13C49B-9A49-4B8C-A1D9-F4B234F2110D}" name="Кол во" dataDxfId="71"/>
    <tableColumn id="5" xr3:uid="{6392810E-DE02-4468-8893-36E70057C892}" name="Цена за ед" dataDxfId="70">
      <calculatedColumnFormula>_xlfn.XLOOKUP(C2, ТаблицаТовары[ID товара], ТаблицаТовары[Цена], "Цена не найдена")</calculatedColumnFormula>
    </tableColumn>
    <tableColumn id="6" xr3:uid="{DF90042E-B35D-4EF1-82B7-863A5BFAF1E1}" name="Скидка %" dataDxfId="69" dataCellStyle="Процентный">
      <calculatedColumnFormula>MAX(
    (MONTH(B2)=11)*0.15,
    (MONTH(B2)=3)*0.1,
    (OR(C2="Т-003",C2="Т-009",C2="Т-018"))*0.12,
    (F2&gt;=3)*0.08,
    (VLOOKUP(C2,ТаблицаТовары[[ID товара]:[Категория]],3,FALSE)="Одежда")*0.1,
    0
)</calculatedColumnFormula>
    </tableColumn>
    <tableColumn id="7" xr3:uid="{1012F3D3-B238-4F5F-8726-48F4E5ECF0EB}" name="Выручка" dataDxfId="68">
      <calculatedColumnFormula>F2*G2*(1-H2)</calculatedColumnFormula>
    </tableColumn>
    <tableColumn id="8" xr3:uid="{BB5248EA-1B78-4B0D-9E7A-64C71A448EFC}" name="Прибыль" dataDxfId="67">
      <calculatedColumnFormula>F2*((G2*(1-H2)) - _xlfn.XLOOKUP(C2,ТаблицаТовары[ID товара],ТаблицаТовары[Себестоимость],0))</calculatedColumnFormula>
    </tableColumn>
    <tableColumn id="9" xr3:uid="{2EEEDDA9-366C-41B6-9313-1627435A49F1}" name="Маржа %" dataDxfId="66">
      <calculatedColumnFormula>IFERROR(J2/I2, 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656A95-95C6-4D66-BF33-795E13A1BC36}" name="ТаблицаТовары" displayName="ТаблицаТовары" ref="A1:E21" totalsRowShown="0" headerRowDxfId="65" dataDxfId="63" headerRowBorderDxfId="64" tableBorderDxfId="62" totalsRowBorderDxfId="61">
  <autoFilter ref="A1:E21" xr:uid="{07656A95-95C6-4D66-BF33-795E13A1BC36}"/>
  <tableColumns count="5">
    <tableColumn id="1" xr3:uid="{1F8906DA-21ED-4B58-922C-C830410224B8}" name="ID товара" dataDxfId="60"/>
    <tableColumn id="2" xr3:uid="{4A319A12-ECDD-4565-9D96-CB36D8442850}" name="Название" dataDxfId="59"/>
    <tableColumn id="3" xr3:uid="{9195DC7B-9F6F-4285-AB0F-59E4CA685EB7}" name="Категория" dataDxfId="58"/>
    <tableColumn id="4" xr3:uid="{7E59E169-A500-42AE-8F71-96A49950F84A}" name="Себестоимость" dataDxfId="57"/>
    <tableColumn id="5" xr3:uid="{728DA2CB-3FC7-4889-923A-2FF7CFE457C5}" name="Цена" dataDxf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" xr10:uid="{51A0A1A1-828E-4A9F-AECD-FED80EE81B4E}" sourceName="Дата">
  <pivotTables>
    <pivotTable tabId="5" name="Сводная таблица5"/>
    <pivotTable tabId="5" name="Сводная таблица6"/>
  </pivotTables>
  <state minimalRefreshVersion="6" lastRefreshVersion="6" pivotCacheId="219011024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" xr10:uid="{A635D631-BA31-42AF-9E6A-EA800242E7D6}" cache="ВстроеннаяВременнаяШкала_Дата" caption="Дата" level="2" selectionLevel="2" scrollPosition="2024-01-01T00:00:00" style="TimeSlicerStyleLight6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971E-F3B1-4A9C-8BF8-4B50E37D475F}">
  <dimension ref="A1:XFC37"/>
  <sheetViews>
    <sheetView tabSelected="1" zoomScale="70" zoomScaleNormal="70" workbookViewId="0">
      <selection activeCell="I31" sqref="I31"/>
    </sheetView>
  </sheetViews>
  <sheetFormatPr defaultColWidth="0" defaultRowHeight="15" zeroHeight="1" x14ac:dyDescent="0.25"/>
  <cols>
    <col min="1" max="1" width="9.140625" customWidth="1"/>
    <col min="2" max="2" width="28.140625" bestFit="1" customWidth="1"/>
    <col min="3" max="3" width="23.140625" bestFit="1" customWidth="1"/>
    <col min="4" max="5" width="9.140625" customWidth="1"/>
    <col min="6" max="6" width="11.7109375" customWidth="1"/>
    <col min="7" max="25" width="9.140625" customWidth="1"/>
    <col min="26" max="26" width="9.28515625" customWidth="1"/>
    <col min="27" max="29" width="9.140625" customWidth="1"/>
    <col min="30" max="16383" width="9.140625" hidden="1"/>
    <col min="16384" max="16384" width="2.85546875" hidden="1"/>
  </cols>
  <sheetData>
    <row r="1" spans="1:29" ht="23.25" x14ac:dyDescent="0.35">
      <c r="A1" s="34"/>
      <c r="B1" s="77" t="s">
        <v>60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40"/>
    </row>
    <row r="2" spans="1:29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1:29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 spans="1:29" ht="20.25" x14ac:dyDescent="0.25">
      <c r="A4" s="34"/>
      <c r="B4" s="35" t="s">
        <v>61</v>
      </c>
      <c r="C4" s="36">
        <f>SUM(ТаблицаПродажи[Выручка])</f>
        <v>20670269.29999999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 spans="1:29" ht="20.25" x14ac:dyDescent="0.25">
      <c r="A5" s="34"/>
      <c r="B5" s="35" t="s">
        <v>62</v>
      </c>
      <c r="C5" s="36">
        <f>SUM(ТаблицаПродажи[Прибыль])</f>
        <v>5504419.3000000063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 spans="1:29" ht="20.25" x14ac:dyDescent="0.25">
      <c r="A6" s="34"/>
      <c r="B6" s="35" t="s">
        <v>63</v>
      </c>
      <c r="C6" s="36">
        <f>AVERAGE(ТаблицаПродажи[Выручка])</f>
        <v>41340.538599999978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 spans="1:29" ht="20.25" x14ac:dyDescent="0.25">
      <c r="A7" s="34"/>
      <c r="B7" s="35" t="s">
        <v>64</v>
      </c>
      <c r="C7" s="37">
        <f>COUNTA(ТаблицаПродажи[ID заказа])</f>
        <v>500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29" ht="20.25" x14ac:dyDescent="0.25">
      <c r="A8" s="34"/>
      <c r="B8" s="35" t="s">
        <v>65</v>
      </c>
      <c r="C8" s="38">
        <f>AVERAGE(ТаблицаПродажи[Маржа %])</f>
        <v>0.34115685279970681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 spans="1:29" ht="37.5" x14ac:dyDescent="0.3">
      <c r="A9" s="34"/>
      <c r="B9" s="35" t="s">
        <v>66</v>
      </c>
      <c r="C9" s="39" t="str">
        <f>_xlfn.LET(
    _xlpm.top_id, INDEX(ТаблицаПродажи[ID товара], MATCH(MAX(ТаблицаПродажи[Прибыль]), ТаблицаПродажи[Прибыль], 0)),
    _xlfn.XLOOKUP(_xlpm.top_id, ТаблицаТовары[ID товара], ТаблицаТовары[Название], "Не определен")
)</f>
        <v>Беговая дорожка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 spans="1:29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 spans="1:29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 spans="1:29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 spans="1:29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spans="1:29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 spans="1:29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29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29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spans="1:29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 spans="1:29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 spans="1:29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 spans="1:29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 spans="1:29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 spans="1:29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 spans="1:29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 spans="1:29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 spans="1:29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 spans="1:29" ht="42" customHeigh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  <row r="37" customFormat="1" hidden="1" x14ac:dyDescent="0.25"/>
  </sheetData>
  <sheetProtection pivotTables="0"/>
  <mergeCells count="1">
    <mergeCell ref="B1:AB1"/>
  </mergeCells>
  <conditionalFormatting sqref="C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{4F7D9ED4-7610-4E56-A0E7-BC1E5D3514FA}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7D9ED4-7610-4E56-A0E7-BC1E5D3514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2C24-B169-452A-998E-AC98C674AFB1}">
  <dimension ref="A1:L501"/>
  <sheetViews>
    <sheetView workbookViewId="0">
      <selection activeCell="C15" sqref="C15"/>
    </sheetView>
  </sheetViews>
  <sheetFormatPr defaultColWidth="0" defaultRowHeight="15.75" x14ac:dyDescent="0.25"/>
  <cols>
    <col min="1" max="1" width="11.42578125" style="23" customWidth="1"/>
    <col min="2" max="2" width="16.42578125" style="11" customWidth="1"/>
    <col min="3" max="3" width="14.85546875" style="23" customWidth="1"/>
    <col min="4" max="4" width="33.85546875" style="32" bestFit="1" customWidth="1"/>
    <col min="5" max="5" width="16.5703125" bestFit="1" customWidth="1"/>
    <col min="6" max="6" width="10" style="24" customWidth="1"/>
    <col min="7" max="7" width="11.7109375" style="19" bestFit="1" customWidth="1"/>
    <col min="8" max="8" width="12.28515625" style="26" customWidth="1"/>
    <col min="9" max="9" width="10.42578125" style="20" bestFit="1" customWidth="1"/>
    <col min="10" max="10" width="12.140625" style="20" customWidth="1"/>
    <col min="11" max="11" width="13.28515625" style="28" customWidth="1"/>
    <col min="12" max="12" width="9.140625" customWidth="1"/>
    <col min="13" max="16384" width="9.140625" hidden="1"/>
  </cols>
  <sheetData>
    <row r="1" spans="1:11" x14ac:dyDescent="0.25">
      <c r="A1" s="21" t="s">
        <v>52</v>
      </c>
      <c r="B1" s="13" t="s">
        <v>53</v>
      </c>
      <c r="C1" s="21" t="s">
        <v>0</v>
      </c>
      <c r="D1" s="30" t="s">
        <v>581</v>
      </c>
      <c r="E1" s="16" t="s">
        <v>2</v>
      </c>
      <c r="F1" s="12" t="s">
        <v>54</v>
      </c>
      <c r="G1" s="19" t="s">
        <v>55</v>
      </c>
      <c r="H1" s="14" t="s">
        <v>56</v>
      </c>
      <c r="I1" s="18" t="s">
        <v>57</v>
      </c>
      <c r="J1" s="18" t="s">
        <v>58</v>
      </c>
      <c r="K1" s="16" t="s">
        <v>59</v>
      </c>
    </row>
    <row r="2" spans="1:11" x14ac:dyDescent="0.25">
      <c r="A2" s="22" t="s">
        <v>67</v>
      </c>
      <c r="B2" s="15">
        <v>45612</v>
      </c>
      <c r="C2" s="22" t="s">
        <v>32</v>
      </c>
      <c r="D2" s="31" t="str">
        <f>_xlfn.XLOOKUP(C2, ТаблицаТовары[ID товара], ТаблицаТовары[Название])</f>
        <v>Рюкзак туристический</v>
      </c>
      <c r="E2" s="17" t="str">
        <f>_xlfn.XLOOKUP(C2,ТаблицаТовары[ID товара],ТаблицаТовары[Категория])</f>
        <v>Аксессуары</v>
      </c>
      <c r="F2" s="29">
        <v>1</v>
      </c>
      <c r="G2" s="19">
        <f>_xlfn.XLOOKUP(C2, ТаблицаТовары[ID товара], ТаблицаТовары[Цена], "Цена не найдена")</f>
        <v>3490</v>
      </c>
      <c r="H2" s="25">
        <f>MAX(
    (MONTH(B2)=11)*0.15,
    (MONTH(B2)=3)*0.1,
    (OR(C2="Т-003",C2="Т-009",C2="Т-018"))*0.12,
    (F2&gt;=3)*0.08,
    (VLOOKUP(C2,ТаблицаТовары[[ID товара]:[Категория]],3,FALSE)="Одежда")*0.1,
    0
)</f>
        <v>0.15</v>
      </c>
      <c r="I2" s="19">
        <f>F2*G2*(1-H2)</f>
        <v>2966.5</v>
      </c>
      <c r="J2" s="19">
        <f>F2*((G2*(1-H2)) - _xlfn.XLOOKUP(C2,ТаблицаТовары[ID товара],ТаблицаТовары[Себестоимость],0))</f>
        <v>1166.5</v>
      </c>
      <c r="K2" s="27">
        <f>IFERROR(J2/I2, 0)</f>
        <v>0.39322433844598009</v>
      </c>
    </row>
    <row r="3" spans="1:11" x14ac:dyDescent="0.25">
      <c r="A3" s="22" t="s">
        <v>68</v>
      </c>
      <c r="B3" s="15">
        <v>45436</v>
      </c>
      <c r="C3" s="22" t="s">
        <v>26</v>
      </c>
      <c r="D3" s="31" t="str">
        <f>_xlfn.XLOOKUP(C3, ТаблицаТовары[ID товара], ТаблицаТовары[Название])</f>
        <v>Футболка хлопковая</v>
      </c>
      <c r="E3" s="17" t="str">
        <f>_xlfn.XLOOKUP(C3,ТаблицаТовары[ID товара],ТаблицаТовары[Категория])</f>
        <v>Одежда</v>
      </c>
      <c r="F3" s="29">
        <v>2</v>
      </c>
      <c r="G3" s="19">
        <f>_xlfn.XLOOKUP(C3, ТаблицаТовары[ID товара], ТаблицаТовары[Цена], "Цена не найдена")</f>
        <v>990</v>
      </c>
      <c r="H3" s="25">
        <f>MAX(
    (MONTH(B3)=11)*0.15,
    (MONTH(B3)=3)*0.1,
    (OR(C3="Т-003",C3="Т-009",C3="Т-018"))*0.12,
    (F3&gt;=3)*0.08,
    (VLOOKUP(C3,ТаблицаТовары[[ID товара]:[Категория]],3,FALSE)="Одежда")*0.1,
    0
)</f>
        <v>0.12</v>
      </c>
      <c r="I3" s="19">
        <f t="shared" ref="I3:I66" si="0">F3*G3*(1-H3)</f>
        <v>1742.4</v>
      </c>
      <c r="J3" s="19">
        <f>F3*((G3*(1-H3)) - _xlfn.XLOOKUP(C3,ТаблицаТовары[ID товара],ТаблицаТовары[Себестоимость],0))</f>
        <v>1042.4000000000001</v>
      </c>
      <c r="K3" s="27">
        <f t="shared" ref="K3:K66" si="1">IFERROR(J3/I3, 0)</f>
        <v>0.59825528007346196</v>
      </c>
    </row>
    <row r="4" spans="1:11" x14ac:dyDescent="0.25">
      <c r="A4" s="22" t="s">
        <v>69</v>
      </c>
      <c r="B4" s="15">
        <v>45556</v>
      </c>
      <c r="C4" s="22" t="s">
        <v>50</v>
      </c>
      <c r="D4" s="31" t="str">
        <f>_xlfn.XLOOKUP(C4, ТаблицаТовары[ID товара], ТаблицаТовары[Название])</f>
        <v>Йогуртница</v>
      </c>
      <c r="E4" s="17" t="str">
        <f>_xlfn.XLOOKUP(C4,ТаблицаТовары[ID товара],ТаблицаТовары[Категория])</f>
        <v>Для дома</v>
      </c>
      <c r="F4" s="29">
        <v>2</v>
      </c>
      <c r="G4" s="19">
        <f>_xlfn.XLOOKUP(C4, ТаблицаТовары[ID товара], ТаблицаТовары[Цена], "Цена не найдена")</f>
        <v>4990</v>
      </c>
      <c r="H4" s="25">
        <f>MAX(
    (MONTH(B4)=11)*0.15,
    (MONTH(B4)=3)*0.1,
    (OR(C4="Т-003",C4="Т-009",C4="Т-018"))*0.12,
    (F4&gt;=3)*0.08,
    (VLOOKUP(C4,ТаблицаТовары[[ID товара]:[Категория]],3,FALSE)="Одежда")*0.1,
    0
)</f>
        <v>0</v>
      </c>
      <c r="I4" s="19">
        <f t="shared" si="0"/>
        <v>9980</v>
      </c>
      <c r="J4" s="19">
        <f>F4*((G4*(1-H4)) - _xlfn.XLOOKUP(C4,ТаблицаТовары[ID товара],ТаблицаТовары[Себестоимость],0))</f>
        <v>3580</v>
      </c>
      <c r="K4" s="27">
        <f t="shared" si="1"/>
        <v>0.3587174348697395</v>
      </c>
    </row>
    <row r="5" spans="1:11" x14ac:dyDescent="0.25">
      <c r="A5" s="22" t="s">
        <v>70</v>
      </c>
      <c r="B5" s="15">
        <v>45448</v>
      </c>
      <c r="C5" s="22" t="s">
        <v>32</v>
      </c>
      <c r="D5" s="31" t="str">
        <f>_xlfn.XLOOKUP(C5, ТаблицаТовары[ID товара], ТаблицаТовары[Название])</f>
        <v>Рюкзак туристический</v>
      </c>
      <c r="E5" s="17" t="str">
        <f>_xlfn.XLOOKUP(C5,ТаблицаТовары[ID товара],ТаблицаТовары[Категория])</f>
        <v>Аксессуары</v>
      </c>
      <c r="F5" s="29">
        <v>1</v>
      </c>
      <c r="G5" s="19">
        <f>_xlfn.XLOOKUP(C5, ТаблицаТовары[ID товара], ТаблицаТовары[Цена], "Цена не найдена")</f>
        <v>3490</v>
      </c>
      <c r="H5" s="25">
        <f>MAX(
    (MONTH(B5)=11)*0.15,
    (MONTH(B5)=3)*0.1,
    (OR(C5="Т-003",C5="Т-009",C5="Т-018"))*0.12,
    (F5&gt;=3)*0.08,
    (VLOOKUP(C5,ТаблицаТовары[[ID товара]:[Категория]],3,FALSE)="Одежда")*0.1,
    0
)</f>
        <v>0</v>
      </c>
      <c r="I5" s="19">
        <f t="shared" si="0"/>
        <v>3490</v>
      </c>
      <c r="J5" s="19">
        <f>F5*((G5*(1-H5)) - _xlfn.XLOOKUP(C5,ТаблицаТовары[ID товара],ТаблицаТовары[Себестоимость],0))</f>
        <v>1690</v>
      </c>
      <c r="K5" s="27">
        <f t="shared" si="1"/>
        <v>0.48424068767908307</v>
      </c>
    </row>
    <row r="6" spans="1:11" x14ac:dyDescent="0.25">
      <c r="A6" s="22" t="s">
        <v>71</v>
      </c>
      <c r="B6" s="15">
        <v>45537</v>
      </c>
      <c r="C6" s="22" t="s">
        <v>26</v>
      </c>
      <c r="D6" s="31" t="str">
        <f>_xlfn.XLOOKUP(C6, ТаблицаТовары[ID товара], ТаблицаТовары[Название])</f>
        <v>Футболка хлопковая</v>
      </c>
      <c r="E6" s="17" t="str">
        <f>_xlfn.XLOOKUP(C6,ТаблицаТовары[ID товара],ТаблицаТовары[Категория])</f>
        <v>Одежда</v>
      </c>
      <c r="F6" s="29">
        <v>3</v>
      </c>
      <c r="G6" s="19">
        <f>_xlfn.XLOOKUP(C6, ТаблицаТовары[ID товара], ТаблицаТовары[Цена], "Цена не найдена")</f>
        <v>990</v>
      </c>
      <c r="H6" s="25">
        <f>MAX(
    (MONTH(B6)=11)*0.15,
    (MONTH(B6)=3)*0.1,
    (OR(C6="Т-003",C6="Т-009",C6="Т-018"))*0.12,
    (F6&gt;=3)*0.08,
    (VLOOKUP(C6,ТаблицаТовары[[ID товара]:[Категория]],3,FALSE)="Одежда")*0.1,
    0
)</f>
        <v>0.12</v>
      </c>
      <c r="I6" s="19">
        <f t="shared" si="0"/>
        <v>2613.6</v>
      </c>
      <c r="J6" s="19">
        <f>F6*((G6*(1-H6)) - _xlfn.XLOOKUP(C6,ТаблицаТовары[ID товара],ТаблицаТовары[Себестоимость],0))</f>
        <v>1563.6000000000001</v>
      </c>
      <c r="K6" s="27">
        <f t="shared" si="1"/>
        <v>0.59825528007346196</v>
      </c>
    </row>
    <row r="7" spans="1:11" x14ac:dyDescent="0.25">
      <c r="A7" s="22" t="s">
        <v>72</v>
      </c>
      <c r="B7" s="15">
        <v>45434</v>
      </c>
      <c r="C7" s="22" t="s">
        <v>19</v>
      </c>
      <c r="D7" s="31" t="str">
        <f>_xlfn.XLOOKUP(C7, ТаблицаТовары[ID товара], ТаблицаТовары[Название])</f>
        <v>Кроссовки Nike Air Max</v>
      </c>
      <c r="E7" s="17" t="str">
        <f>_xlfn.XLOOKUP(C7,ТаблицаТовары[ID товара],ТаблицаТовары[Категория])</f>
        <v>Обувь</v>
      </c>
      <c r="F7" s="29">
        <v>1</v>
      </c>
      <c r="G7" s="19">
        <f>_xlfn.XLOOKUP(C7, ТаблицаТовары[ID товара], ТаблицаТовары[Цена], "Цена не найдена")</f>
        <v>8990</v>
      </c>
      <c r="H7" s="25">
        <f>MAX(
    (MONTH(B7)=11)*0.15,
    (MONTH(B7)=3)*0.1,
    (OR(C7="Т-003",C7="Т-009",C7="Т-018"))*0.12,
    (F7&gt;=3)*0.08,
    (VLOOKUP(C7,ТаблицаТовары[[ID товара]:[Категория]],3,FALSE)="Одежда")*0.1,
    0
)</f>
        <v>0</v>
      </c>
      <c r="I7" s="19">
        <f t="shared" si="0"/>
        <v>8990</v>
      </c>
      <c r="J7" s="19">
        <f>F7*((G7*(1-H7)) - _xlfn.XLOOKUP(C7,ТаблицаТовары[ID товара],ТаблицаТовары[Себестоимость],0))</f>
        <v>3790</v>
      </c>
      <c r="K7" s="27">
        <f t="shared" si="1"/>
        <v>0.42157953281423804</v>
      </c>
    </row>
    <row r="8" spans="1:11" x14ac:dyDescent="0.25">
      <c r="A8" s="22" t="s">
        <v>73</v>
      </c>
      <c r="B8" s="15">
        <v>45533</v>
      </c>
      <c r="C8" s="22" t="s">
        <v>26</v>
      </c>
      <c r="D8" s="31" t="str">
        <f>_xlfn.XLOOKUP(C8, ТаблицаТовары[ID товара], ТаблицаТовары[Название])</f>
        <v>Футболка хлопковая</v>
      </c>
      <c r="E8" s="17" t="str">
        <f>_xlfn.XLOOKUP(C8,ТаблицаТовары[ID товара],ТаблицаТовары[Категория])</f>
        <v>Одежда</v>
      </c>
      <c r="F8" s="29">
        <v>3</v>
      </c>
      <c r="G8" s="19">
        <f>_xlfn.XLOOKUP(C8, ТаблицаТовары[ID товара], ТаблицаТовары[Цена], "Цена не найдена")</f>
        <v>990</v>
      </c>
      <c r="H8" s="25">
        <f>MAX(
    (MONTH(B8)=11)*0.15,
    (MONTH(B8)=3)*0.1,
    (OR(C8="Т-003",C8="Т-009",C8="Т-018"))*0.12,
    (F8&gt;=3)*0.08,
    (VLOOKUP(C8,ТаблицаТовары[[ID товара]:[Категория]],3,FALSE)="Одежда")*0.1,
    0
)</f>
        <v>0.12</v>
      </c>
      <c r="I8" s="19">
        <f t="shared" si="0"/>
        <v>2613.6</v>
      </c>
      <c r="J8" s="19">
        <f>F8*((G8*(1-H8)) - _xlfn.XLOOKUP(C8,ТаблицаТовары[ID товара],ТаблицаТовары[Себестоимость],0))</f>
        <v>1563.6000000000001</v>
      </c>
      <c r="K8" s="27">
        <f t="shared" si="1"/>
        <v>0.59825528007346196</v>
      </c>
    </row>
    <row r="9" spans="1:11" x14ac:dyDescent="0.25">
      <c r="A9" s="22" t="s">
        <v>74</v>
      </c>
      <c r="B9" s="15">
        <v>45602</v>
      </c>
      <c r="C9" s="22" t="s">
        <v>5</v>
      </c>
      <c r="D9" s="31" t="str">
        <f>_xlfn.XLOOKUP(C9, ТаблицаТовары[ID товара], ТаблицаТовары[Название])</f>
        <v>Смартфон Galaxy A54</v>
      </c>
      <c r="E9" s="17" t="str">
        <f>_xlfn.XLOOKUP(C9,ТаблицаТовары[ID товара],ТаблицаТовары[Категория])</f>
        <v>Электроника</v>
      </c>
      <c r="F9" s="29">
        <v>1</v>
      </c>
      <c r="G9" s="19">
        <f>_xlfn.XLOOKUP(C9, ТаблицаТовары[ID товара], ТаблицаТовары[Цена], "Цена не найдена")</f>
        <v>29990</v>
      </c>
      <c r="H9" s="25">
        <f>MAX(
    (MONTH(B9)=11)*0.15,
    (MONTH(B9)=3)*0.1,
    (OR(C9="Т-003",C9="Т-009",C9="Т-018"))*0.12,
    (F9&gt;=3)*0.08,
    (VLOOKUP(C9,ТаблицаТовары[[ID товара]:[Категория]],3,FALSE)="Одежда")*0.1,
    0
)</f>
        <v>0.15</v>
      </c>
      <c r="I9" s="19">
        <f t="shared" si="0"/>
        <v>25491.5</v>
      </c>
      <c r="J9" s="19">
        <f>F9*((G9*(1-H9)) - _xlfn.XLOOKUP(C9,ТаблицаТовары[ID товара],ТаблицаТовары[Себестоимость],0))</f>
        <v>3991.5</v>
      </c>
      <c r="K9" s="27">
        <f t="shared" si="1"/>
        <v>0.1565816056332503</v>
      </c>
    </row>
    <row r="10" spans="1:11" x14ac:dyDescent="0.25">
      <c r="A10" s="22" t="s">
        <v>75</v>
      </c>
      <c r="B10" s="15">
        <v>45603</v>
      </c>
      <c r="C10" s="22" t="s">
        <v>8</v>
      </c>
      <c r="D10" s="31" t="str">
        <f>_xlfn.XLOOKUP(C10, ТаблицаТовары[ID товара], ТаблицаТовары[Название])</f>
        <v>Наушники Sony WH-1000XM5</v>
      </c>
      <c r="E10" s="17" t="str">
        <f>_xlfn.XLOOKUP(C10,ТаблицаТовары[ID товара],ТаблицаТовары[Категория])</f>
        <v>Электроника</v>
      </c>
      <c r="F10" s="29">
        <v>3</v>
      </c>
      <c r="G10" s="19">
        <f>_xlfn.XLOOKUP(C10, ТаблицаТовары[ID товара], ТаблицаТовары[Цена], "Цена не найдена")</f>
        <v>26990</v>
      </c>
      <c r="H10" s="25">
        <f>MAX(
    (MONTH(B10)=11)*0.15,
    (MONTH(B10)=3)*0.1,
    (OR(C10="Т-003",C10="Т-009",C10="Т-018"))*0.12,
    (F10&gt;=3)*0.08,
    (VLOOKUP(C10,ТаблицаТовары[[ID товара]:[Категория]],3,FALSE)="Одежда")*0.1,
    0
)</f>
        <v>0.15</v>
      </c>
      <c r="I10" s="19">
        <f t="shared" si="0"/>
        <v>68824.5</v>
      </c>
      <c r="J10" s="19">
        <f>F10*((G10*(1-H10)) - _xlfn.XLOOKUP(C10,ТаблицаТовары[ID товара],ТаблицаТовары[Себестоимость],0))</f>
        <v>12124.5</v>
      </c>
      <c r="K10" s="27">
        <f t="shared" si="1"/>
        <v>0.1761654643331953</v>
      </c>
    </row>
    <row r="11" spans="1:11" x14ac:dyDescent="0.25">
      <c r="A11" s="22" t="s">
        <v>76</v>
      </c>
      <c r="B11" s="15">
        <v>45341</v>
      </c>
      <c r="C11" s="22" t="s">
        <v>48</v>
      </c>
      <c r="D11" s="31" t="str">
        <f>_xlfn.XLOOKUP(C11, ТаблицаТовары[ID товара], ТаблицаТовары[Название])</f>
        <v>Микрофон для стримов</v>
      </c>
      <c r="E11" s="17" t="str">
        <f>_xlfn.XLOOKUP(C11,ТаблицаТовары[ID товара],ТаблицаТовары[Категория])</f>
        <v>Электроника</v>
      </c>
      <c r="F11" s="29">
        <v>1</v>
      </c>
      <c r="G11" s="19">
        <f>_xlfn.XLOOKUP(C11, ТаблицаТовары[ID товара], ТаблицаТовары[Цена], "Цена не найдена")</f>
        <v>12990</v>
      </c>
      <c r="H11" s="25">
        <f>MAX(
    (MONTH(B11)=11)*0.15,
    (MONTH(B11)=3)*0.1,
    (OR(C11="Т-003",C11="Т-009",C11="Т-018"))*0.12,
    (F11&gt;=3)*0.08,
    (VLOOKUP(C11,ТаблицаТовары[[ID товара]:[Категория]],3,FALSE)="Одежда")*0.1,
    0
)</f>
        <v>0</v>
      </c>
      <c r="I11" s="19">
        <f t="shared" si="0"/>
        <v>12990</v>
      </c>
      <c r="J11" s="19">
        <f>F11*((G11*(1-H11)) - _xlfn.XLOOKUP(C11,ТаблицаТовары[ID товара],ТаблицаТовары[Себестоимость],0))</f>
        <v>4090</v>
      </c>
      <c r="K11" s="27">
        <f t="shared" si="1"/>
        <v>0.31485758275596615</v>
      </c>
    </row>
    <row r="12" spans="1:11" x14ac:dyDescent="0.25">
      <c r="A12" s="22" t="s">
        <v>77</v>
      </c>
      <c r="B12" s="15">
        <v>45568</v>
      </c>
      <c r="C12" s="22" t="s">
        <v>50</v>
      </c>
      <c r="D12" s="31" t="str">
        <f>_xlfn.XLOOKUP(C12, ТаблицаТовары[ID товара], ТаблицаТовары[Название])</f>
        <v>Йогуртница</v>
      </c>
      <c r="E12" s="17" t="str">
        <f>_xlfn.XLOOKUP(C12,ТаблицаТовары[ID товара],ТаблицаТовары[Категория])</f>
        <v>Для дома</v>
      </c>
      <c r="F12" s="29">
        <v>1</v>
      </c>
      <c r="G12" s="19">
        <f>_xlfn.XLOOKUP(C12, ТаблицаТовары[ID товара], ТаблицаТовары[Цена], "Цена не найдена")</f>
        <v>4990</v>
      </c>
      <c r="H12" s="25">
        <f>MAX(
    (MONTH(B12)=11)*0.15,
    (MONTH(B12)=3)*0.1,
    (OR(C12="Т-003",C12="Т-009",C12="Т-018"))*0.12,
    (F12&gt;=3)*0.08,
    (VLOOKUP(C12,ТаблицаТовары[[ID товара]:[Категория]],3,FALSE)="Одежда")*0.1,
    0
)</f>
        <v>0</v>
      </c>
      <c r="I12" s="19">
        <f t="shared" si="0"/>
        <v>4990</v>
      </c>
      <c r="J12" s="19">
        <f>F12*((G12*(1-H12)) - _xlfn.XLOOKUP(C12,ТаблицаТовары[ID товара],ТаблицаТовары[Себестоимость],0))</f>
        <v>1790</v>
      </c>
      <c r="K12" s="27">
        <f t="shared" si="1"/>
        <v>0.3587174348697395</v>
      </c>
    </row>
    <row r="13" spans="1:11" x14ac:dyDescent="0.25">
      <c r="A13" s="22" t="s">
        <v>78</v>
      </c>
      <c r="B13" s="15">
        <v>45621</v>
      </c>
      <c r="C13" s="22" t="s">
        <v>48</v>
      </c>
      <c r="D13" s="31" t="str">
        <f>_xlfn.XLOOKUP(C13, ТаблицаТовары[ID товара], ТаблицаТовары[Название])</f>
        <v>Микрофон для стримов</v>
      </c>
      <c r="E13" s="17" t="str">
        <f>_xlfn.XLOOKUP(C13,ТаблицаТовары[ID товара],ТаблицаТовары[Категория])</f>
        <v>Электроника</v>
      </c>
      <c r="F13" s="29">
        <v>2</v>
      </c>
      <c r="G13" s="19">
        <f>_xlfn.XLOOKUP(C13, ТаблицаТовары[ID товара], ТаблицаТовары[Цена], "Цена не найдена")</f>
        <v>12990</v>
      </c>
      <c r="H13" s="25">
        <f>MAX(
    (MONTH(B13)=11)*0.15,
    (MONTH(B13)=3)*0.1,
    (OR(C13="Т-003",C13="Т-009",C13="Т-018"))*0.12,
    (F13&gt;=3)*0.08,
    (VLOOKUP(C13,ТаблицаТовары[[ID товара]:[Категория]],3,FALSE)="Одежда")*0.1,
    0
)</f>
        <v>0.15</v>
      </c>
      <c r="I13" s="19">
        <f t="shared" si="0"/>
        <v>22083</v>
      </c>
      <c r="J13" s="19">
        <f>F13*((G13*(1-H13)) - _xlfn.XLOOKUP(C13,ТаблицаТовары[ID товара],ТаблицаТовары[Себестоимость],0))</f>
        <v>4283</v>
      </c>
      <c r="K13" s="27">
        <f t="shared" si="1"/>
        <v>0.19395009735996016</v>
      </c>
    </row>
    <row r="14" spans="1:11" x14ac:dyDescent="0.25">
      <c r="A14" s="22" t="s">
        <v>79</v>
      </c>
      <c r="B14" s="15">
        <v>45336</v>
      </c>
      <c r="C14" s="22" t="s">
        <v>26</v>
      </c>
      <c r="D14" s="31" t="str">
        <f>_xlfn.XLOOKUP(C14, ТаблицаТовары[ID товара], ТаблицаТовары[Название])</f>
        <v>Футболка хлопковая</v>
      </c>
      <c r="E14" s="17" t="str">
        <f>_xlfn.XLOOKUP(C14,ТаблицаТовары[ID товара],ТаблицаТовары[Категория])</f>
        <v>Одежда</v>
      </c>
      <c r="F14" s="29">
        <v>1</v>
      </c>
      <c r="G14" s="19">
        <f>_xlfn.XLOOKUP(C14, ТаблицаТовары[ID товара], ТаблицаТовары[Цена], "Цена не найдена")</f>
        <v>990</v>
      </c>
      <c r="H14" s="25">
        <f>MAX(
    (MONTH(B14)=11)*0.15,
    (MONTH(B14)=3)*0.1,
    (OR(C14="Т-003",C14="Т-009",C14="Т-018"))*0.12,
    (F14&gt;=3)*0.08,
    (VLOOKUP(C14,ТаблицаТовары[[ID товара]:[Категория]],3,FALSE)="Одежда")*0.1,
    0
)</f>
        <v>0.12</v>
      </c>
      <c r="I14" s="19">
        <f t="shared" si="0"/>
        <v>871.2</v>
      </c>
      <c r="J14" s="19">
        <f>F14*((G14*(1-H14)) - _xlfn.XLOOKUP(C14,ТаблицаТовары[ID товара],ТаблицаТовары[Себестоимость],0))</f>
        <v>521.20000000000005</v>
      </c>
      <c r="K14" s="27">
        <f t="shared" si="1"/>
        <v>0.59825528007346196</v>
      </c>
    </row>
    <row r="15" spans="1:11" x14ac:dyDescent="0.25">
      <c r="A15" s="22" t="s">
        <v>80</v>
      </c>
      <c r="B15" s="15">
        <v>45385</v>
      </c>
      <c r="C15" s="22" t="s">
        <v>22</v>
      </c>
      <c r="D15" s="31" t="str">
        <f>_xlfn.XLOOKUP(C15, ТаблицаТовары[ID товара], ТаблицаТовары[Название])</f>
        <v>Ноутбук Lenovo IdeaPad</v>
      </c>
      <c r="E15" s="17" t="str">
        <f>_xlfn.XLOOKUP(C15,ТаблицаТовары[ID товара],ТаблицаТовары[Категория])</f>
        <v>Электроника</v>
      </c>
      <c r="F15" s="29">
        <v>3</v>
      </c>
      <c r="G15" s="19">
        <f>_xlfn.XLOOKUP(C15, ТаблицаТовары[ID товара], ТаблицаТовары[Цена], "Цена не найдена")</f>
        <v>64990</v>
      </c>
      <c r="H15" s="25">
        <f>MAX(
    (MONTH(B15)=11)*0.15,
    (MONTH(B15)=3)*0.1,
    (OR(C15="Т-003",C15="Т-009",C15="Т-018"))*0.12,
    (F15&gt;=3)*0.08,
    (VLOOKUP(C15,ТаблицаТовары[[ID товара]:[Категория]],3,FALSE)="Одежда")*0.1,
    0
)</f>
        <v>0.08</v>
      </c>
      <c r="I15" s="19">
        <f t="shared" si="0"/>
        <v>179372.4</v>
      </c>
      <c r="J15" s="19">
        <f>F15*((G15*(1-H15)) - _xlfn.XLOOKUP(C15,ТаблицаТовары[ID товара],ТаблицаТовары[Себестоимость],0))</f>
        <v>35972.400000000009</v>
      </c>
      <c r="K15" s="27">
        <f t="shared" si="1"/>
        <v>0.20054590338312922</v>
      </c>
    </row>
    <row r="16" spans="1:11" x14ac:dyDescent="0.25">
      <c r="A16" s="22" t="s">
        <v>81</v>
      </c>
      <c r="B16" s="15">
        <v>45532</v>
      </c>
      <c r="C16" s="22" t="s">
        <v>46</v>
      </c>
      <c r="D16" s="31" t="str">
        <f>_xlfn.XLOOKUP(C16, ТаблицаТовары[ID товара], ТаблицаТовары[Название])</f>
        <v>Сумка кожаная женская</v>
      </c>
      <c r="E16" s="17" t="str">
        <f>_xlfn.XLOOKUP(C16,ТаблицаТовары[ID товара],ТаблицаТовары[Категория])</f>
        <v>Аксессуары</v>
      </c>
      <c r="F16" s="29">
        <v>2</v>
      </c>
      <c r="G16" s="19">
        <f>_xlfn.XLOOKUP(C16, ТаблицаТовары[ID товара], ТаблицаТовары[Цена], "Цена не найдена")</f>
        <v>7590</v>
      </c>
      <c r="H16" s="25">
        <f>MAX(
    (MONTH(B16)=11)*0.15,
    (MONTH(B16)=3)*0.1,
    (OR(C16="Т-003",C16="Т-009",C16="Т-018"))*0.12,
    (F16&gt;=3)*0.08,
    (VLOOKUP(C16,ТаблицаТовары[[ID товара]:[Категория]],3,FALSE)="Одежда")*0.1,
    0
)</f>
        <v>0.12</v>
      </c>
      <c r="I16" s="19">
        <f t="shared" si="0"/>
        <v>13358.4</v>
      </c>
      <c r="J16" s="19">
        <f>F16*((G16*(1-H16)) - _xlfn.XLOOKUP(C16,ТаблицаТовары[ID товара],ТаблицаТовары[Себестоимость],0))</f>
        <v>4958.3999999999996</v>
      </c>
      <c r="K16" s="27">
        <f t="shared" si="1"/>
        <v>0.37118217750628818</v>
      </c>
    </row>
    <row r="17" spans="1:11" x14ac:dyDescent="0.25">
      <c r="A17" s="22" t="s">
        <v>82</v>
      </c>
      <c r="B17" s="15">
        <v>45612</v>
      </c>
      <c r="C17" s="22" t="s">
        <v>24</v>
      </c>
      <c r="D17" s="31" t="str">
        <f>_xlfn.XLOOKUP(C17, ТаблицаТовары[ID товара], ТаблицаТовары[Название])</f>
        <v>Чайник стеклянный</v>
      </c>
      <c r="E17" s="17" t="str">
        <f>_xlfn.XLOOKUP(C17,ТаблицаТовары[ID товара],ТаблицаТовары[Категория])</f>
        <v>Для дома</v>
      </c>
      <c r="F17" s="29">
        <v>3</v>
      </c>
      <c r="G17" s="19">
        <f>_xlfn.XLOOKUP(C17, ТаблицаТовары[ID товара], ТаблицаТовары[Цена], "Цена не найдена")</f>
        <v>2490</v>
      </c>
      <c r="H17" s="25">
        <f>MAX(
    (MONTH(B17)=11)*0.15,
    (MONTH(B17)=3)*0.1,
    (OR(C17="Т-003",C17="Т-009",C17="Т-018"))*0.12,
    (F17&gt;=3)*0.08,
    (VLOOKUP(C17,ТаблицаТовары[[ID товара]:[Категория]],3,FALSE)="Одежда")*0.1,
    0
)</f>
        <v>0.15</v>
      </c>
      <c r="I17" s="19">
        <f t="shared" si="0"/>
        <v>6349.5</v>
      </c>
      <c r="J17" s="19">
        <f>F17*((G17*(1-H17)) - _xlfn.XLOOKUP(C17,ТаблицаТовары[ID товара],ТаблицаТовары[Себестоимость],0))</f>
        <v>2749.5</v>
      </c>
      <c r="K17" s="27">
        <f t="shared" si="1"/>
        <v>0.43302622253720763</v>
      </c>
    </row>
    <row r="18" spans="1:11" x14ac:dyDescent="0.25">
      <c r="A18" s="22" t="s">
        <v>83</v>
      </c>
      <c r="B18" s="15">
        <v>45594</v>
      </c>
      <c r="C18" s="22" t="s">
        <v>19</v>
      </c>
      <c r="D18" s="31" t="str">
        <f>_xlfn.XLOOKUP(C18, ТаблицаТовары[ID товара], ТаблицаТовары[Название])</f>
        <v>Кроссовки Nike Air Max</v>
      </c>
      <c r="E18" s="17" t="str">
        <f>_xlfn.XLOOKUP(C18,ТаблицаТовары[ID товара],ТаблицаТовары[Категория])</f>
        <v>Обувь</v>
      </c>
      <c r="F18" s="29">
        <v>2</v>
      </c>
      <c r="G18" s="19">
        <f>_xlfn.XLOOKUP(C18, ТаблицаТовары[ID товара], ТаблицаТовары[Цена], "Цена не найдена")</f>
        <v>8990</v>
      </c>
      <c r="H18" s="25">
        <f>MAX(
    (MONTH(B18)=11)*0.15,
    (MONTH(B18)=3)*0.1,
    (OR(C18="Т-003",C18="Т-009",C18="Т-018"))*0.12,
    (F18&gt;=3)*0.08,
    (VLOOKUP(C18,ТаблицаТовары[[ID товара]:[Категория]],3,FALSE)="Одежда")*0.1,
    0
)</f>
        <v>0</v>
      </c>
      <c r="I18" s="19">
        <f t="shared" si="0"/>
        <v>17980</v>
      </c>
      <c r="J18" s="19">
        <f>F18*((G18*(1-H18)) - _xlfn.XLOOKUP(C18,ТаблицаТовары[ID товара],ТаблицаТовары[Себестоимость],0))</f>
        <v>7580</v>
      </c>
      <c r="K18" s="27">
        <f t="shared" si="1"/>
        <v>0.42157953281423804</v>
      </c>
    </row>
    <row r="19" spans="1:11" x14ac:dyDescent="0.25">
      <c r="A19" s="22" t="s">
        <v>84</v>
      </c>
      <c r="B19" s="15">
        <v>45651</v>
      </c>
      <c r="C19" s="22" t="s">
        <v>32</v>
      </c>
      <c r="D19" s="31" t="str">
        <f>_xlfn.XLOOKUP(C19, ТаблицаТовары[ID товара], ТаблицаТовары[Название])</f>
        <v>Рюкзак туристический</v>
      </c>
      <c r="E19" s="17" t="str">
        <f>_xlfn.XLOOKUP(C19,ТаблицаТовары[ID товара],ТаблицаТовары[Категория])</f>
        <v>Аксессуары</v>
      </c>
      <c r="F19" s="29">
        <v>3</v>
      </c>
      <c r="G19" s="19">
        <f>_xlfn.XLOOKUP(C19, ТаблицаТовары[ID товара], ТаблицаТовары[Цена], "Цена не найдена")</f>
        <v>3490</v>
      </c>
      <c r="H19" s="25">
        <f>MAX(
    (MONTH(B19)=11)*0.15,
    (MONTH(B19)=3)*0.1,
    (OR(C19="Т-003",C19="Т-009",C19="Т-018"))*0.12,
    (F19&gt;=3)*0.08,
    (VLOOKUP(C19,ТаблицаТовары[[ID товара]:[Категория]],3,FALSE)="Одежда")*0.1,
    0
)</f>
        <v>0.08</v>
      </c>
      <c r="I19" s="19">
        <f t="shared" si="0"/>
        <v>9632.4</v>
      </c>
      <c r="J19" s="19">
        <f>F19*((G19*(1-H19)) - _xlfn.XLOOKUP(C19,ТаблицаТовары[ID товара],ТаблицаТовары[Себестоимость],0))</f>
        <v>4232.4000000000005</v>
      </c>
      <c r="K19" s="27">
        <f t="shared" si="1"/>
        <v>0.43939205182509039</v>
      </c>
    </row>
    <row r="20" spans="1:11" x14ac:dyDescent="0.25">
      <c r="A20" s="22" t="s">
        <v>85</v>
      </c>
      <c r="B20" s="15">
        <v>45633</v>
      </c>
      <c r="C20" s="22" t="s">
        <v>43</v>
      </c>
      <c r="D20" s="31" t="str">
        <f>_xlfn.XLOOKUP(C20, ТаблицаТовары[ID товара], ТаблицаТовары[Название])</f>
        <v>Беговая дорожка</v>
      </c>
      <c r="E20" s="17" t="str">
        <f>_xlfn.XLOOKUP(C20,ТаблицаТовары[ID товара],ТаблицаТовары[Категория])</f>
        <v>Спорт</v>
      </c>
      <c r="F20" s="29">
        <v>3</v>
      </c>
      <c r="G20" s="19">
        <f>_xlfn.XLOOKUP(C20, ТаблицаТовары[ID товара], ТаблицаТовары[Цена], "Цена не найдена")</f>
        <v>79990</v>
      </c>
      <c r="H20" s="25">
        <f>MAX(
    (MONTH(B20)=11)*0.15,
    (MONTH(B20)=3)*0.1,
    (OR(C20="Т-003",C20="Т-009",C20="Т-018"))*0.12,
    (F20&gt;=3)*0.08,
    (VLOOKUP(C20,ТаблицаТовары[[ID товара]:[Категория]],3,FALSE)="Одежда")*0.1,
    0
)</f>
        <v>0.08</v>
      </c>
      <c r="I20" s="19">
        <f t="shared" si="0"/>
        <v>220772.40000000002</v>
      </c>
      <c r="J20" s="19">
        <f>F20*((G20*(1-H20)) - _xlfn.XLOOKUP(C20,ТаблицаТовары[ID товара],ТаблицаТовары[Себестоимость],0))</f>
        <v>44072.400000000009</v>
      </c>
      <c r="K20" s="27">
        <f t="shared" si="1"/>
        <v>0.19962821439636477</v>
      </c>
    </row>
    <row r="21" spans="1:11" x14ac:dyDescent="0.25">
      <c r="A21" s="22" t="s">
        <v>86</v>
      </c>
      <c r="B21" s="15">
        <v>45494</v>
      </c>
      <c r="C21" s="22" t="s">
        <v>24</v>
      </c>
      <c r="D21" s="31" t="str">
        <f>_xlfn.XLOOKUP(C21, ТаблицаТовары[ID товара], ТаблицаТовары[Название])</f>
        <v>Чайник стеклянный</v>
      </c>
      <c r="E21" s="17" t="str">
        <f>_xlfn.XLOOKUP(C21,ТаблицаТовары[ID товара],ТаблицаТовары[Категория])</f>
        <v>Для дома</v>
      </c>
      <c r="F21" s="29">
        <v>1</v>
      </c>
      <c r="G21" s="19">
        <f>_xlfn.XLOOKUP(C21, ТаблицаТовары[ID товара], ТаблицаТовары[Цена], "Цена не найдена")</f>
        <v>2490</v>
      </c>
      <c r="H21" s="25">
        <f>MAX(
    (MONTH(B21)=11)*0.15,
    (MONTH(B21)=3)*0.1,
    (OR(C21="Т-003",C21="Т-009",C21="Т-018"))*0.12,
    (F21&gt;=3)*0.08,
    (VLOOKUP(C21,ТаблицаТовары[[ID товара]:[Категория]],3,FALSE)="Одежда")*0.1,
    0
)</f>
        <v>0</v>
      </c>
      <c r="I21" s="19">
        <f t="shared" si="0"/>
        <v>2490</v>
      </c>
      <c r="J21" s="19">
        <f>F21*((G21*(1-H21)) - _xlfn.XLOOKUP(C21,ТаблицаТовары[ID товара],ТаблицаТовары[Себестоимость],0))</f>
        <v>1290</v>
      </c>
      <c r="K21" s="27">
        <f t="shared" si="1"/>
        <v>0.51807228915662651</v>
      </c>
    </row>
    <row r="22" spans="1:11" x14ac:dyDescent="0.25">
      <c r="A22" s="22" t="s">
        <v>87</v>
      </c>
      <c r="B22" s="15">
        <v>45383</v>
      </c>
      <c r="C22" s="22" t="s">
        <v>19</v>
      </c>
      <c r="D22" s="31" t="str">
        <f>_xlfn.XLOOKUP(C22, ТаблицаТовары[ID товара], ТаблицаТовары[Название])</f>
        <v>Кроссовки Nike Air Max</v>
      </c>
      <c r="E22" s="17" t="str">
        <f>_xlfn.XLOOKUP(C22,ТаблицаТовары[ID товара],ТаблицаТовары[Категория])</f>
        <v>Обувь</v>
      </c>
      <c r="F22" s="29">
        <v>2</v>
      </c>
      <c r="G22" s="19">
        <f>_xlfn.XLOOKUP(C22, ТаблицаТовары[ID товара], ТаблицаТовары[Цена], "Цена не найдена")</f>
        <v>8990</v>
      </c>
      <c r="H22" s="25">
        <f>MAX(
    (MONTH(B22)=11)*0.15,
    (MONTH(B22)=3)*0.1,
    (OR(C22="Т-003",C22="Т-009",C22="Т-018"))*0.12,
    (F22&gt;=3)*0.08,
    (VLOOKUP(C22,ТаблицаТовары[[ID товара]:[Категория]],3,FALSE)="Одежда")*0.1,
    0
)</f>
        <v>0</v>
      </c>
      <c r="I22" s="19">
        <f t="shared" si="0"/>
        <v>17980</v>
      </c>
      <c r="J22" s="19">
        <f>F22*((G22*(1-H22)) - _xlfn.XLOOKUP(C22,ТаблицаТовары[ID товара],ТаблицаТовары[Себестоимость],0))</f>
        <v>7580</v>
      </c>
      <c r="K22" s="27">
        <f t="shared" si="1"/>
        <v>0.42157953281423804</v>
      </c>
    </row>
    <row r="23" spans="1:11" x14ac:dyDescent="0.25">
      <c r="A23" s="22" t="s">
        <v>88</v>
      </c>
      <c r="B23" s="15">
        <v>45408</v>
      </c>
      <c r="C23" s="22" t="s">
        <v>46</v>
      </c>
      <c r="D23" s="31" t="str">
        <f>_xlfn.XLOOKUP(C23, ТаблицаТовары[ID товара], ТаблицаТовары[Название])</f>
        <v>Сумка кожаная женская</v>
      </c>
      <c r="E23" s="17" t="str">
        <f>_xlfn.XLOOKUP(C23,ТаблицаТовары[ID товара],ТаблицаТовары[Категория])</f>
        <v>Аксессуары</v>
      </c>
      <c r="F23" s="29">
        <v>2</v>
      </c>
      <c r="G23" s="19">
        <f>_xlfn.XLOOKUP(C23, ТаблицаТовары[ID товара], ТаблицаТовары[Цена], "Цена не найдена")</f>
        <v>7590</v>
      </c>
      <c r="H23" s="25">
        <f>MAX(
    (MONTH(B23)=11)*0.15,
    (MONTH(B23)=3)*0.1,
    (OR(C23="Т-003",C23="Т-009",C23="Т-018"))*0.12,
    (F23&gt;=3)*0.08,
    (VLOOKUP(C23,ТаблицаТовары[[ID товара]:[Категория]],3,FALSE)="Одежда")*0.1,
    0
)</f>
        <v>0.12</v>
      </c>
      <c r="I23" s="19">
        <f t="shared" si="0"/>
        <v>13358.4</v>
      </c>
      <c r="J23" s="19">
        <f>F23*((G23*(1-H23)) - _xlfn.XLOOKUP(C23,ТаблицаТовары[ID товара],ТаблицаТовары[Себестоимость],0))</f>
        <v>4958.3999999999996</v>
      </c>
      <c r="K23" s="27">
        <f t="shared" si="1"/>
        <v>0.37118217750628818</v>
      </c>
    </row>
    <row r="24" spans="1:11" x14ac:dyDescent="0.25">
      <c r="A24" s="22" t="s">
        <v>89</v>
      </c>
      <c r="B24" s="15">
        <v>45636</v>
      </c>
      <c r="C24" s="22" t="s">
        <v>30</v>
      </c>
      <c r="D24" s="31" t="str">
        <f>_xlfn.XLOOKUP(C24, ТаблицаТовары[ID товара], ТаблицаТовары[Название])</f>
        <v>Кресло офисное</v>
      </c>
      <c r="E24" s="17" t="str">
        <f>_xlfn.XLOOKUP(C24,ТаблицаТовары[ID товара],ТаблицаТовары[Категория])</f>
        <v>Для дома</v>
      </c>
      <c r="F24" s="29">
        <v>3</v>
      </c>
      <c r="G24" s="19">
        <f>_xlfn.XLOOKUP(C24, ТаблицаТовары[ID товара], ТаблицаТовары[Цена], "Цена не найдена")</f>
        <v>21990</v>
      </c>
      <c r="H24" s="25">
        <f>MAX(
    (MONTH(B24)=11)*0.15,
    (MONTH(B24)=3)*0.1,
    (OR(C24="Т-003",C24="Т-009",C24="Т-018"))*0.12,
    (F24&gt;=3)*0.08,
    (VLOOKUP(C24,ТаблицаТовары[[ID товара]:[Категория]],3,FALSE)="Одежда")*0.1,
    0
)</f>
        <v>0.08</v>
      </c>
      <c r="I24" s="19">
        <f t="shared" si="0"/>
        <v>60692.4</v>
      </c>
      <c r="J24" s="19">
        <f>F24*((G24*(1-H24)) - _xlfn.XLOOKUP(C24,ТаблицаТовары[ID товара],ТаблицаТовары[Себестоимость],0))</f>
        <v>17192.399999999998</v>
      </c>
      <c r="K24" s="27">
        <f t="shared" si="1"/>
        <v>0.28327105205923636</v>
      </c>
    </row>
    <row r="25" spans="1:11" x14ac:dyDescent="0.25">
      <c r="A25" s="22" t="s">
        <v>90</v>
      </c>
      <c r="B25" s="15">
        <v>45445</v>
      </c>
      <c r="C25" s="22" t="s">
        <v>5</v>
      </c>
      <c r="D25" s="31" t="str">
        <f>_xlfn.XLOOKUP(C25, ТаблицаТовары[ID товара], ТаблицаТовары[Название])</f>
        <v>Смартфон Galaxy A54</v>
      </c>
      <c r="E25" s="17" t="str">
        <f>_xlfn.XLOOKUP(C25,ТаблицаТовары[ID товара],ТаблицаТовары[Категория])</f>
        <v>Электроника</v>
      </c>
      <c r="F25" s="29">
        <v>3</v>
      </c>
      <c r="G25" s="19">
        <f>_xlfn.XLOOKUP(C25, ТаблицаТовары[ID товара], ТаблицаТовары[Цена], "Цена не найдена")</f>
        <v>29990</v>
      </c>
      <c r="H25" s="25">
        <f>MAX(
    (MONTH(B25)=11)*0.15,
    (MONTH(B25)=3)*0.1,
    (OR(C25="Т-003",C25="Т-009",C25="Т-018"))*0.12,
    (F25&gt;=3)*0.08,
    (VLOOKUP(C25,ТаблицаТовары[[ID товара]:[Категория]],3,FALSE)="Одежда")*0.1,
    0
)</f>
        <v>0.08</v>
      </c>
      <c r="I25" s="19">
        <f t="shared" si="0"/>
        <v>82772.400000000009</v>
      </c>
      <c r="J25" s="19">
        <f>F25*((G25*(1-H25)) - _xlfn.XLOOKUP(C25,ТаблицаТовары[ID товара],ТаблицаТовары[Себестоимость],0))</f>
        <v>18272.400000000009</v>
      </c>
      <c r="K25" s="27">
        <f t="shared" si="1"/>
        <v>0.22075474433506828</v>
      </c>
    </row>
    <row r="26" spans="1:11" x14ac:dyDescent="0.25">
      <c r="A26" s="22" t="s">
        <v>91</v>
      </c>
      <c r="B26" s="15">
        <v>45325</v>
      </c>
      <c r="C26" s="22" t="s">
        <v>8</v>
      </c>
      <c r="D26" s="31" t="str">
        <f>_xlfn.XLOOKUP(C26, ТаблицаТовары[ID товара], ТаблицаТовары[Название])</f>
        <v>Наушники Sony WH-1000XM5</v>
      </c>
      <c r="E26" s="17" t="str">
        <f>_xlfn.XLOOKUP(C26,ТаблицаТовары[ID товара],ТаблицаТовары[Категория])</f>
        <v>Электроника</v>
      </c>
      <c r="F26" s="29">
        <v>2</v>
      </c>
      <c r="G26" s="19">
        <f>_xlfn.XLOOKUP(C26, ТаблицаТовары[ID товара], ТаблицаТовары[Цена], "Цена не найдена")</f>
        <v>26990</v>
      </c>
      <c r="H26" s="25">
        <f>MAX(
    (MONTH(B26)=11)*0.15,
    (MONTH(B26)=3)*0.1,
    (OR(C26="Т-003",C26="Т-009",C26="Т-018"))*0.12,
    (F26&gt;=3)*0.08,
    (VLOOKUP(C26,ТаблицаТовары[[ID товара]:[Категория]],3,FALSE)="Одежда")*0.1,
    0
)</f>
        <v>0</v>
      </c>
      <c r="I26" s="19">
        <f t="shared" si="0"/>
        <v>53980</v>
      </c>
      <c r="J26" s="19">
        <f>F26*((G26*(1-H26)) - _xlfn.XLOOKUP(C26,ТаблицаТовары[ID товара],ТаблицаТовары[Себестоимость],0))</f>
        <v>16180</v>
      </c>
      <c r="K26" s="27">
        <f t="shared" si="1"/>
        <v>0.29974064468321598</v>
      </c>
    </row>
    <row r="27" spans="1:11" x14ac:dyDescent="0.25">
      <c r="A27" s="22" t="s">
        <v>92</v>
      </c>
      <c r="B27" s="15">
        <v>45512</v>
      </c>
      <c r="C27" s="22" t="s">
        <v>48</v>
      </c>
      <c r="D27" s="31" t="str">
        <f>_xlfn.XLOOKUP(C27, ТаблицаТовары[ID товара], ТаблицаТовары[Название])</f>
        <v>Микрофон для стримов</v>
      </c>
      <c r="E27" s="17" t="str">
        <f>_xlfn.XLOOKUP(C27,ТаблицаТовары[ID товара],ТаблицаТовары[Категория])</f>
        <v>Электроника</v>
      </c>
      <c r="F27" s="29">
        <v>3</v>
      </c>
      <c r="G27" s="19">
        <f>_xlfn.XLOOKUP(C27, ТаблицаТовары[ID товара], ТаблицаТовары[Цена], "Цена не найдена")</f>
        <v>12990</v>
      </c>
      <c r="H27" s="25">
        <f>MAX(
    (MONTH(B27)=11)*0.15,
    (MONTH(B27)=3)*0.1,
    (OR(C27="Т-003",C27="Т-009",C27="Т-018"))*0.12,
    (F27&gt;=3)*0.08,
    (VLOOKUP(C27,ТаблицаТовары[[ID товара]:[Категория]],3,FALSE)="Одежда")*0.1,
    0
)</f>
        <v>0.08</v>
      </c>
      <c r="I27" s="19">
        <f t="shared" si="0"/>
        <v>35852.400000000001</v>
      </c>
      <c r="J27" s="19">
        <f>F27*((G27*(1-H27)) - _xlfn.XLOOKUP(C27,ТаблицаТовары[ID товара],ТаблицаТовары[Себестоимость],0))</f>
        <v>9152.4000000000033</v>
      </c>
      <c r="K27" s="27">
        <f t="shared" si="1"/>
        <v>0.25527998125648499</v>
      </c>
    </row>
    <row r="28" spans="1:11" x14ac:dyDescent="0.25">
      <c r="A28" s="22" t="s">
        <v>93</v>
      </c>
      <c r="B28" s="15">
        <v>45408</v>
      </c>
      <c r="C28" s="22" t="s">
        <v>46</v>
      </c>
      <c r="D28" s="31" t="str">
        <f>_xlfn.XLOOKUP(C28, ТаблицаТовары[ID товара], ТаблицаТовары[Название])</f>
        <v>Сумка кожаная женская</v>
      </c>
      <c r="E28" s="17" t="str">
        <f>_xlfn.XLOOKUP(C28,ТаблицаТовары[ID товара],ТаблицаТовары[Категория])</f>
        <v>Аксессуары</v>
      </c>
      <c r="F28" s="29">
        <v>3</v>
      </c>
      <c r="G28" s="19">
        <f>_xlfn.XLOOKUP(C28, ТаблицаТовары[ID товара], ТаблицаТовары[Цена], "Цена не найдена")</f>
        <v>7590</v>
      </c>
      <c r="H28" s="25">
        <f>MAX(
    (MONTH(B28)=11)*0.15,
    (MONTH(B28)=3)*0.1,
    (OR(C28="Т-003",C28="Т-009",C28="Т-018"))*0.12,
    (F28&gt;=3)*0.08,
    (VLOOKUP(C28,ТаблицаТовары[[ID товара]:[Категория]],3,FALSE)="Одежда")*0.1,
    0
)</f>
        <v>0.12</v>
      </c>
      <c r="I28" s="19">
        <f t="shared" si="0"/>
        <v>20037.599999999999</v>
      </c>
      <c r="J28" s="19">
        <f>F28*((G28*(1-H28)) - _xlfn.XLOOKUP(C28,ТаблицаТовары[ID товара],ТаблицаТовары[Себестоимость],0))</f>
        <v>7437.5999999999995</v>
      </c>
      <c r="K28" s="27">
        <f t="shared" si="1"/>
        <v>0.37118217750628818</v>
      </c>
    </row>
    <row r="29" spans="1:11" x14ac:dyDescent="0.25">
      <c r="A29" s="22" t="s">
        <v>94</v>
      </c>
      <c r="B29" s="15">
        <v>45609</v>
      </c>
      <c r="C29" s="22" t="s">
        <v>50</v>
      </c>
      <c r="D29" s="31" t="str">
        <f>_xlfn.XLOOKUP(C29, ТаблицаТовары[ID товара], ТаблицаТовары[Название])</f>
        <v>Йогуртница</v>
      </c>
      <c r="E29" s="17" t="str">
        <f>_xlfn.XLOOKUP(C29,ТаблицаТовары[ID товара],ТаблицаТовары[Категория])</f>
        <v>Для дома</v>
      </c>
      <c r="F29" s="29">
        <v>1</v>
      </c>
      <c r="G29" s="19">
        <f>_xlfn.XLOOKUP(C29, ТаблицаТовары[ID товара], ТаблицаТовары[Цена], "Цена не найдена")</f>
        <v>4990</v>
      </c>
      <c r="H29" s="25">
        <f>MAX(
    (MONTH(B29)=11)*0.15,
    (MONTH(B29)=3)*0.1,
    (OR(C29="Т-003",C29="Т-009",C29="Т-018"))*0.12,
    (F29&gt;=3)*0.08,
    (VLOOKUP(C29,ТаблицаТовары[[ID товара]:[Категория]],3,FALSE)="Одежда")*0.1,
    0
)</f>
        <v>0.15</v>
      </c>
      <c r="I29" s="19">
        <f t="shared" si="0"/>
        <v>4241.5</v>
      </c>
      <c r="J29" s="19">
        <f>F29*((G29*(1-H29)) - _xlfn.XLOOKUP(C29,ТаблицаТовары[ID товара],ТаблицаТовары[Себестоимость],0))</f>
        <v>1041.5</v>
      </c>
      <c r="K29" s="27">
        <f t="shared" si="1"/>
        <v>0.2455499233761641</v>
      </c>
    </row>
    <row r="30" spans="1:11" x14ac:dyDescent="0.25">
      <c r="A30" s="22" t="s">
        <v>95</v>
      </c>
      <c r="B30" s="15">
        <v>45336</v>
      </c>
      <c r="C30" s="22" t="s">
        <v>37</v>
      </c>
      <c r="D30" s="31" t="str">
        <f>_xlfn.XLOOKUP(C30, ТаблицаТовары[ID товара], ТаблицаТовары[Название])</f>
        <v>Набор посуды 12 предметов</v>
      </c>
      <c r="E30" s="17" t="str">
        <f>_xlfn.XLOOKUP(C30,ТаблицаТовары[ID товара],ТаблицаТовары[Категория])</f>
        <v>Для дома</v>
      </c>
      <c r="F30" s="29">
        <v>1</v>
      </c>
      <c r="G30" s="19">
        <f>_xlfn.XLOOKUP(C30, ТаблицаТовары[ID товара], ТаблицаТовары[Цена], "Цена не найдена")</f>
        <v>14990</v>
      </c>
      <c r="H30" s="25">
        <f>MAX(
    (MONTH(B30)=11)*0.15,
    (MONTH(B30)=3)*0.1,
    (OR(C30="Т-003",C30="Т-009",C30="Т-018"))*0.12,
    (F30&gt;=3)*0.08,
    (VLOOKUP(C30,ТаблицаТовары[[ID товара]:[Категория]],3,FALSE)="Одежда")*0.1,
    0
)</f>
        <v>0</v>
      </c>
      <c r="I30" s="19">
        <f t="shared" si="0"/>
        <v>14990</v>
      </c>
      <c r="J30" s="19">
        <f>F30*((G30*(1-H30)) - _xlfn.XLOOKUP(C30,ТаблицаТовары[ID товара],ТаблицаТовары[Себестоимость],0))</f>
        <v>6390</v>
      </c>
      <c r="K30" s="27">
        <f t="shared" si="1"/>
        <v>0.42628418945963975</v>
      </c>
    </row>
    <row r="31" spans="1:11" x14ac:dyDescent="0.25">
      <c r="A31" s="22" t="s">
        <v>96</v>
      </c>
      <c r="B31" s="15">
        <v>45552</v>
      </c>
      <c r="C31" s="22" t="s">
        <v>10</v>
      </c>
      <c r="D31" s="31" t="str">
        <f>_xlfn.XLOOKUP(C31, ТаблицаТовары[ID товара], ТаблицаТовары[Название])</f>
        <v>Книга "Мастерство продаж"</v>
      </c>
      <c r="E31" s="17" t="str">
        <f>_xlfn.XLOOKUP(C31,ТаблицаТовары[ID товара],ТаблицаТовары[Категория])</f>
        <v>Книги</v>
      </c>
      <c r="F31" s="29">
        <v>3</v>
      </c>
      <c r="G31" s="19">
        <f>_xlfn.XLOOKUP(C31, ТаблицаТовары[ID товара], ТаблицаТовары[Цена], "Цена не найдена")</f>
        <v>890</v>
      </c>
      <c r="H31" s="25">
        <f>MAX(
    (MONTH(B31)=11)*0.15,
    (MONTH(B31)=3)*0.1,
    (OR(C31="Т-003",C31="Т-009",C31="Т-018"))*0.12,
    (F31&gt;=3)*0.08,
    (VLOOKUP(C31,ТаблицаТовары[[ID товара]:[Категория]],3,FALSE)="Одежда")*0.1,
    0
)</f>
        <v>0.12</v>
      </c>
      <c r="I31" s="19">
        <f t="shared" si="0"/>
        <v>2349.6</v>
      </c>
      <c r="J31" s="19">
        <f>F31*((G31*(1-H31)) - _xlfn.XLOOKUP(C31,ТаблицаТовары[ID товара],ТаблицаТовары[Себестоимость],0))</f>
        <v>999.60000000000014</v>
      </c>
      <c r="K31" s="27">
        <f t="shared" si="1"/>
        <v>0.42543411644535245</v>
      </c>
    </row>
    <row r="32" spans="1:11" x14ac:dyDescent="0.25">
      <c r="A32" s="22" t="s">
        <v>97</v>
      </c>
      <c r="B32" s="15">
        <v>45654</v>
      </c>
      <c r="C32" s="22" t="s">
        <v>35</v>
      </c>
      <c r="D32" s="31" t="str">
        <f>_xlfn.XLOOKUP(C32, ТаблицаТовары[ID товара], ТаблицаТовары[Название])</f>
        <v>Умные часы Apple Watch</v>
      </c>
      <c r="E32" s="17" t="str">
        <f>_xlfn.XLOOKUP(C32,ТаблицаТовары[ID товара],ТаблицаТовары[Категория])</f>
        <v>Электроника</v>
      </c>
      <c r="F32" s="29">
        <v>2</v>
      </c>
      <c r="G32" s="19">
        <f>_xlfn.XLOOKUP(C32, ТаблицаТовары[ID товара], ТаблицаТовары[Цена], "Цена не найдена")</f>
        <v>39990</v>
      </c>
      <c r="H32" s="25">
        <f>MAX(
    (MONTH(B32)=11)*0.15,
    (MONTH(B32)=3)*0.1,
    (OR(C32="Т-003",C32="Т-009",C32="Т-018"))*0.12,
    (F32&gt;=3)*0.08,
    (VLOOKUP(C32,ТаблицаТовары[[ID товара]:[Категория]],3,FALSE)="Одежда")*0.1,
    0
)</f>
        <v>0</v>
      </c>
      <c r="I32" s="19">
        <f t="shared" si="0"/>
        <v>79980</v>
      </c>
      <c r="J32" s="19">
        <f>F32*((G32*(1-H32)) - _xlfn.XLOOKUP(C32,ТаблицаТовары[ID товара],ТаблицаТовары[Себестоимость],0))</f>
        <v>22980</v>
      </c>
      <c r="K32" s="27">
        <f t="shared" si="1"/>
        <v>0.28732183045761439</v>
      </c>
    </row>
    <row r="33" spans="1:11" x14ac:dyDescent="0.25">
      <c r="A33" s="22" t="s">
        <v>98</v>
      </c>
      <c r="B33" s="15">
        <v>45560</v>
      </c>
      <c r="C33" s="22" t="s">
        <v>19</v>
      </c>
      <c r="D33" s="31" t="str">
        <f>_xlfn.XLOOKUP(C33, ТаблицаТовары[ID товара], ТаблицаТовары[Название])</f>
        <v>Кроссовки Nike Air Max</v>
      </c>
      <c r="E33" s="17" t="str">
        <f>_xlfn.XLOOKUP(C33,ТаблицаТовары[ID товара],ТаблицаТовары[Категория])</f>
        <v>Обувь</v>
      </c>
      <c r="F33" s="29">
        <v>1</v>
      </c>
      <c r="G33" s="19">
        <f>_xlfn.XLOOKUP(C33, ТаблицаТовары[ID товара], ТаблицаТовары[Цена], "Цена не найдена")</f>
        <v>8990</v>
      </c>
      <c r="H33" s="25">
        <f>MAX(
    (MONTH(B33)=11)*0.15,
    (MONTH(B33)=3)*0.1,
    (OR(C33="Т-003",C33="Т-009",C33="Т-018"))*0.12,
    (F33&gt;=3)*0.08,
    (VLOOKUP(C33,ТаблицаТовары[[ID товара]:[Категория]],3,FALSE)="Одежда")*0.1,
    0
)</f>
        <v>0</v>
      </c>
      <c r="I33" s="19">
        <f t="shared" si="0"/>
        <v>8990</v>
      </c>
      <c r="J33" s="19">
        <f>F33*((G33*(1-H33)) - _xlfn.XLOOKUP(C33,ТаблицаТовары[ID товара],ТаблицаТовары[Себестоимость],0))</f>
        <v>3790</v>
      </c>
      <c r="K33" s="27">
        <f t="shared" si="1"/>
        <v>0.42157953281423804</v>
      </c>
    </row>
    <row r="34" spans="1:11" x14ac:dyDescent="0.25">
      <c r="A34" s="22" t="s">
        <v>99</v>
      </c>
      <c r="B34" s="15">
        <v>45650</v>
      </c>
      <c r="C34" s="22" t="s">
        <v>10</v>
      </c>
      <c r="D34" s="31" t="str">
        <f>_xlfn.XLOOKUP(C34, ТаблицаТовары[ID товара], ТаблицаТовары[Название])</f>
        <v>Книга "Мастерство продаж"</v>
      </c>
      <c r="E34" s="17" t="str">
        <f>_xlfn.XLOOKUP(C34,ТаблицаТовары[ID товара],ТаблицаТовары[Категория])</f>
        <v>Книги</v>
      </c>
      <c r="F34" s="29">
        <v>3</v>
      </c>
      <c r="G34" s="19">
        <f>_xlfn.XLOOKUP(C34, ТаблицаТовары[ID товара], ТаблицаТовары[Цена], "Цена не найдена")</f>
        <v>890</v>
      </c>
      <c r="H34" s="25">
        <f>MAX(
    (MONTH(B34)=11)*0.15,
    (MONTH(B34)=3)*0.1,
    (OR(C34="Т-003",C34="Т-009",C34="Т-018"))*0.12,
    (F34&gt;=3)*0.08,
    (VLOOKUP(C34,ТаблицаТовары[[ID товара]:[Категория]],3,FALSE)="Одежда")*0.1,
    0
)</f>
        <v>0.12</v>
      </c>
      <c r="I34" s="19">
        <f t="shared" si="0"/>
        <v>2349.6</v>
      </c>
      <c r="J34" s="19">
        <f>F34*((G34*(1-H34)) - _xlfn.XLOOKUP(C34,ТаблицаТовары[ID товара],ТаблицаТовары[Себестоимость],0))</f>
        <v>999.60000000000014</v>
      </c>
      <c r="K34" s="27">
        <f t="shared" si="1"/>
        <v>0.42543411644535245</v>
      </c>
    </row>
    <row r="35" spans="1:11" x14ac:dyDescent="0.25">
      <c r="A35" s="22" t="s">
        <v>100</v>
      </c>
      <c r="B35" s="15">
        <v>45384</v>
      </c>
      <c r="C35" s="22" t="s">
        <v>19</v>
      </c>
      <c r="D35" s="31" t="str">
        <f>_xlfn.XLOOKUP(C35, ТаблицаТовары[ID товара], ТаблицаТовары[Название])</f>
        <v>Кроссовки Nike Air Max</v>
      </c>
      <c r="E35" s="17" t="str">
        <f>_xlfn.XLOOKUP(C35,ТаблицаТовары[ID товара],ТаблицаТовары[Категория])</f>
        <v>Обувь</v>
      </c>
      <c r="F35" s="29">
        <v>3</v>
      </c>
      <c r="G35" s="19">
        <f>_xlfn.XLOOKUP(C35, ТаблицаТовары[ID товара], ТаблицаТовары[Цена], "Цена не найдена")</f>
        <v>8990</v>
      </c>
      <c r="H35" s="25">
        <f>MAX(
    (MONTH(B35)=11)*0.15,
    (MONTH(B35)=3)*0.1,
    (OR(C35="Т-003",C35="Т-009",C35="Т-018"))*0.12,
    (F35&gt;=3)*0.08,
    (VLOOKUP(C35,ТаблицаТовары[[ID товара]:[Категория]],3,FALSE)="Одежда")*0.1,
    0
)</f>
        <v>0.08</v>
      </c>
      <c r="I35" s="19">
        <f t="shared" si="0"/>
        <v>24812.400000000001</v>
      </c>
      <c r="J35" s="19">
        <f>F35*((G35*(1-H35)) - _xlfn.XLOOKUP(C35,ТаблицаТовары[ID товара],ТаблицаТовары[Себестоимость],0))</f>
        <v>9212.4000000000033</v>
      </c>
      <c r="K35" s="27">
        <f t="shared" si="1"/>
        <v>0.37128210088504143</v>
      </c>
    </row>
    <row r="36" spans="1:11" x14ac:dyDescent="0.25">
      <c r="A36" s="22" t="s">
        <v>101</v>
      </c>
      <c r="B36" s="15">
        <v>45541</v>
      </c>
      <c r="C36" s="22" t="s">
        <v>37</v>
      </c>
      <c r="D36" s="31" t="str">
        <f>_xlfn.XLOOKUP(C36, ТаблицаТовары[ID товара], ТаблицаТовары[Название])</f>
        <v>Набор посуды 12 предметов</v>
      </c>
      <c r="E36" s="17" t="str">
        <f>_xlfn.XLOOKUP(C36,ТаблицаТовары[ID товара],ТаблицаТовары[Категория])</f>
        <v>Для дома</v>
      </c>
      <c r="F36" s="29">
        <v>2</v>
      </c>
      <c r="G36" s="19">
        <f>_xlfn.XLOOKUP(C36, ТаблицаТовары[ID товара], ТаблицаТовары[Цена], "Цена не найдена")</f>
        <v>14990</v>
      </c>
      <c r="H36" s="25">
        <f>MAX(
    (MONTH(B36)=11)*0.15,
    (MONTH(B36)=3)*0.1,
    (OR(C36="Т-003",C36="Т-009",C36="Т-018"))*0.12,
    (F36&gt;=3)*0.08,
    (VLOOKUP(C36,ТаблицаТовары[[ID товара]:[Категория]],3,FALSE)="Одежда")*0.1,
    0
)</f>
        <v>0</v>
      </c>
      <c r="I36" s="19">
        <f t="shared" si="0"/>
        <v>29980</v>
      </c>
      <c r="J36" s="19">
        <f>F36*((G36*(1-H36)) - _xlfn.XLOOKUP(C36,ТаблицаТовары[ID товара],ТаблицаТовары[Себестоимость],0))</f>
        <v>12780</v>
      </c>
      <c r="K36" s="27">
        <f t="shared" si="1"/>
        <v>0.42628418945963975</v>
      </c>
    </row>
    <row r="37" spans="1:11" x14ac:dyDescent="0.25">
      <c r="A37" s="22" t="s">
        <v>102</v>
      </c>
      <c r="B37" s="15">
        <v>45411</v>
      </c>
      <c r="C37" s="22" t="s">
        <v>10</v>
      </c>
      <c r="D37" s="31" t="str">
        <f>_xlfn.XLOOKUP(C37, ТаблицаТовары[ID товара], ТаблицаТовары[Название])</f>
        <v>Книга "Мастерство продаж"</v>
      </c>
      <c r="E37" s="17" t="str">
        <f>_xlfn.XLOOKUP(C37,ТаблицаТовары[ID товара],ТаблицаТовары[Категория])</f>
        <v>Книги</v>
      </c>
      <c r="F37" s="29">
        <v>3</v>
      </c>
      <c r="G37" s="19">
        <f>_xlfn.XLOOKUP(C37, ТаблицаТовары[ID товара], ТаблицаТовары[Цена], "Цена не найдена")</f>
        <v>890</v>
      </c>
      <c r="H37" s="25">
        <f>MAX(
    (MONTH(B37)=11)*0.15,
    (MONTH(B37)=3)*0.1,
    (OR(C37="Т-003",C37="Т-009",C37="Т-018"))*0.12,
    (F37&gt;=3)*0.08,
    (VLOOKUP(C37,ТаблицаТовары[[ID товара]:[Категория]],3,FALSE)="Одежда")*0.1,
    0
)</f>
        <v>0.12</v>
      </c>
      <c r="I37" s="19">
        <f t="shared" si="0"/>
        <v>2349.6</v>
      </c>
      <c r="J37" s="19">
        <f>F37*((G37*(1-H37)) - _xlfn.XLOOKUP(C37,ТаблицаТовары[ID товара],ТаблицаТовары[Себестоимость],0))</f>
        <v>999.60000000000014</v>
      </c>
      <c r="K37" s="27">
        <f t="shared" si="1"/>
        <v>0.42543411644535245</v>
      </c>
    </row>
    <row r="38" spans="1:11" x14ac:dyDescent="0.25">
      <c r="A38" s="22" t="s">
        <v>103</v>
      </c>
      <c r="B38" s="15">
        <v>45358</v>
      </c>
      <c r="C38" s="22" t="s">
        <v>30</v>
      </c>
      <c r="D38" s="31" t="str">
        <f>_xlfn.XLOOKUP(C38, ТаблицаТовары[ID товара], ТаблицаТовары[Название])</f>
        <v>Кресло офисное</v>
      </c>
      <c r="E38" s="17" t="str">
        <f>_xlfn.XLOOKUP(C38,ТаблицаТовары[ID товара],ТаблицаТовары[Категория])</f>
        <v>Для дома</v>
      </c>
      <c r="F38" s="29">
        <v>3</v>
      </c>
      <c r="G38" s="19">
        <f>_xlfn.XLOOKUP(C38, ТаблицаТовары[ID товара], ТаблицаТовары[Цена], "Цена не найдена")</f>
        <v>21990</v>
      </c>
      <c r="H38" s="25">
        <f>MAX(
    (MONTH(B38)=11)*0.15,
    (MONTH(B38)=3)*0.1,
    (OR(C38="Т-003",C38="Т-009",C38="Т-018"))*0.12,
    (F38&gt;=3)*0.08,
    (VLOOKUP(C38,ТаблицаТовары[[ID товара]:[Категория]],3,FALSE)="Одежда")*0.1,
    0
)</f>
        <v>0.1</v>
      </c>
      <c r="I38" s="19">
        <f t="shared" si="0"/>
        <v>59373</v>
      </c>
      <c r="J38" s="19">
        <f>F38*((G38*(1-H38)) - _xlfn.XLOOKUP(C38,ТаблицаТовары[ID товара],ТаблицаТовары[Себестоимость],0))</f>
        <v>15873</v>
      </c>
      <c r="K38" s="27">
        <f t="shared" si="1"/>
        <v>0.26734374210499723</v>
      </c>
    </row>
    <row r="39" spans="1:11" x14ac:dyDescent="0.25">
      <c r="A39" s="22" t="s">
        <v>104</v>
      </c>
      <c r="B39" s="15">
        <v>45536</v>
      </c>
      <c r="C39" s="22" t="s">
        <v>16</v>
      </c>
      <c r="D39" s="31" t="str">
        <f>_xlfn.XLOOKUP(C39, ТаблицаТовары[ID товара], ТаблицаТовары[Название])</f>
        <v>Кофемашина DeLonghi</v>
      </c>
      <c r="E39" s="17" t="str">
        <f>_xlfn.XLOOKUP(C39,ТаблицаТовары[ID товара],ТаблицаТовары[Категория])</f>
        <v>Для дома</v>
      </c>
      <c r="F39" s="29">
        <v>1</v>
      </c>
      <c r="G39" s="19">
        <f>_xlfn.XLOOKUP(C39, ТаблицаТовары[ID товара], ТаблицаТовары[Цена], "Цена не найдена")</f>
        <v>45990</v>
      </c>
      <c r="H39" s="25">
        <f>MAX(
    (MONTH(B39)=11)*0.15,
    (MONTH(B39)=3)*0.1,
    (OR(C39="Т-003",C39="Т-009",C39="Т-018"))*0.12,
    (F39&gt;=3)*0.08,
    (VLOOKUP(C39,ТаблицаТовары[[ID товара]:[Категория]],3,FALSE)="Одежда")*0.1,
    0
)</f>
        <v>0</v>
      </c>
      <c r="I39" s="19">
        <f t="shared" si="0"/>
        <v>45990</v>
      </c>
      <c r="J39" s="19">
        <f>F39*((G39*(1-H39)) - _xlfn.XLOOKUP(C39,ТаблицаТовары[ID товара],ТаблицаТовары[Себестоимость],0))</f>
        <v>13590</v>
      </c>
      <c r="K39" s="27">
        <f t="shared" si="1"/>
        <v>0.29549902152641877</v>
      </c>
    </row>
    <row r="40" spans="1:11" x14ac:dyDescent="0.25">
      <c r="A40" s="22" t="s">
        <v>105</v>
      </c>
      <c r="B40" s="15">
        <v>45442</v>
      </c>
      <c r="C40" s="22" t="s">
        <v>8</v>
      </c>
      <c r="D40" s="31" t="str">
        <f>_xlfn.XLOOKUP(C40, ТаблицаТовары[ID товара], ТаблицаТовары[Название])</f>
        <v>Наушники Sony WH-1000XM5</v>
      </c>
      <c r="E40" s="17" t="str">
        <f>_xlfn.XLOOKUP(C40,ТаблицаТовары[ID товара],ТаблицаТовары[Категория])</f>
        <v>Электроника</v>
      </c>
      <c r="F40" s="29">
        <v>1</v>
      </c>
      <c r="G40" s="19">
        <f>_xlfn.XLOOKUP(C40, ТаблицаТовары[ID товара], ТаблицаТовары[Цена], "Цена не найдена")</f>
        <v>26990</v>
      </c>
      <c r="H40" s="25">
        <f>MAX(
    (MONTH(B40)=11)*0.15,
    (MONTH(B40)=3)*0.1,
    (OR(C40="Т-003",C40="Т-009",C40="Т-018"))*0.12,
    (F40&gt;=3)*0.08,
    (VLOOKUP(C40,ТаблицаТовары[[ID товара]:[Категория]],3,FALSE)="Одежда")*0.1,
    0
)</f>
        <v>0</v>
      </c>
      <c r="I40" s="19">
        <f t="shared" si="0"/>
        <v>26990</v>
      </c>
      <c r="J40" s="19">
        <f>F40*((G40*(1-H40)) - _xlfn.XLOOKUP(C40,ТаблицаТовары[ID товара],ТаблицаТовары[Себестоимость],0))</f>
        <v>8090</v>
      </c>
      <c r="K40" s="27">
        <f t="shared" si="1"/>
        <v>0.29974064468321598</v>
      </c>
    </row>
    <row r="41" spans="1:11" x14ac:dyDescent="0.25">
      <c r="A41" s="22" t="s">
        <v>106</v>
      </c>
      <c r="B41" s="15">
        <v>45643</v>
      </c>
      <c r="C41" s="22" t="s">
        <v>37</v>
      </c>
      <c r="D41" s="31" t="str">
        <f>_xlfn.XLOOKUP(C41, ТаблицаТовары[ID товара], ТаблицаТовары[Название])</f>
        <v>Набор посуды 12 предметов</v>
      </c>
      <c r="E41" s="17" t="str">
        <f>_xlfn.XLOOKUP(C41,ТаблицаТовары[ID товара],ТаблицаТовары[Категория])</f>
        <v>Для дома</v>
      </c>
      <c r="F41" s="29">
        <v>2</v>
      </c>
      <c r="G41" s="19">
        <f>_xlfn.XLOOKUP(C41, ТаблицаТовары[ID товара], ТаблицаТовары[Цена], "Цена не найдена")</f>
        <v>14990</v>
      </c>
      <c r="H41" s="25">
        <f>MAX(
    (MONTH(B41)=11)*0.15,
    (MONTH(B41)=3)*0.1,
    (OR(C41="Т-003",C41="Т-009",C41="Т-018"))*0.12,
    (F41&gt;=3)*0.08,
    (VLOOKUP(C41,ТаблицаТовары[[ID товара]:[Категория]],3,FALSE)="Одежда")*0.1,
    0
)</f>
        <v>0</v>
      </c>
      <c r="I41" s="19">
        <f t="shared" si="0"/>
        <v>29980</v>
      </c>
      <c r="J41" s="19">
        <f>F41*((G41*(1-H41)) - _xlfn.XLOOKUP(C41,ТаблицаТовары[ID товара],ТаблицаТовары[Себестоимость],0))</f>
        <v>12780</v>
      </c>
      <c r="K41" s="27">
        <f t="shared" si="1"/>
        <v>0.42628418945963975</v>
      </c>
    </row>
    <row r="42" spans="1:11" x14ac:dyDescent="0.25">
      <c r="A42" s="22" t="s">
        <v>107</v>
      </c>
      <c r="B42" s="15">
        <v>45489</v>
      </c>
      <c r="C42" s="22" t="s">
        <v>24</v>
      </c>
      <c r="D42" s="31" t="str">
        <f>_xlfn.XLOOKUP(C42, ТаблицаТовары[ID товара], ТаблицаТовары[Название])</f>
        <v>Чайник стеклянный</v>
      </c>
      <c r="E42" s="17" t="str">
        <f>_xlfn.XLOOKUP(C42,ТаблицаТовары[ID товара],ТаблицаТовары[Категория])</f>
        <v>Для дома</v>
      </c>
      <c r="F42" s="29">
        <v>2</v>
      </c>
      <c r="G42" s="19">
        <f>_xlfn.XLOOKUP(C42, ТаблицаТовары[ID товара], ТаблицаТовары[Цена], "Цена не найдена")</f>
        <v>2490</v>
      </c>
      <c r="H42" s="25">
        <f>MAX(
    (MONTH(B42)=11)*0.15,
    (MONTH(B42)=3)*0.1,
    (OR(C42="Т-003",C42="Т-009",C42="Т-018"))*0.12,
    (F42&gt;=3)*0.08,
    (VLOOKUP(C42,ТаблицаТовары[[ID товара]:[Категория]],3,FALSE)="Одежда")*0.1,
    0
)</f>
        <v>0</v>
      </c>
      <c r="I42" s="19">
        <f t="shared" si="0"/>
        <v>4980</v>
      </c>
      <c r="J42" s="19">
        <f>F42*((G42*(1-H42)) - _xlfn.XLOOKUP(C42,ТаблицаТовары[ID товара],ТаблицаТовары[Себестоимость],0))</f>
        <v>2580</v>
      </c>
      <c r="K42" s="27">
        <f t="shared" si="1"/>
        <v>0.51807228915662651</v>
      </c>
    </row>
    <row r="43" spans="1:11" x14ac:dyDescent="0.25">
      <c r="A43" s="22" t="s">
        <v>108</v>
      </c>
      <c r="B43" s="15">
        <v>45535</v>
      </c>
      <c r="C43" s="22" t="s">
        <v>46</v>
      </c>
      <c r="D43" s="31" t="str">
        <f>_xlfn.XLOOKUP(C43, ТаблицаТовары[ID товара], ТаблицаТовары[Название])</f>
        <v>Сумка кожаная женская</v>
      </c>
      <c r="E43" s="17" t="str">
        <f>_xlfn.XLOOKUP(C43,ТаблицаТовары[ID товара],ТаблицаТовары[Категория])</f>
        <v>Аксессуары</v>
      </c>
      <c r="F43" s="29">
        <v>1</v>
      </c>
      <c r="G43" s="19">
        <f>_xlfn.XLOOKUP(C43, ТаблицаТовары[ID товара], ТаблицаТовары[Цена], "Цена не найдена")</f>
        <v>7590</v>
      </c>
      <c r="H43" s="25">
        <f>MAX(
    (MONTH(B43)=11)*0.15,
    (MONTH(B43)=3)*0.1,
    (OR(C43="Т-003",C43="Т-009",C43="Т-018"))*0.12,
    (F43&gt;=3)*0.08,
    (VLOOKUP(C43,ТаблицаТовары[[ID товара]:[Категория]],3,FALSE)="Одежда")*0.1,
    0
)</f>
        <v>0.12</v>
      </c>
      <c r="I43" s="19">
        <f t="shared" si="0"/>
        <v>6679.2</v>
      </c>
      <c r="J43" s="19">
        <f>F43*((G43*(1-H43)) - _xlfn.XLOOKUP(C43,ТаблицаТовары[ID товара],ТаблицаТовары[Себестоимость],0))</f>
        <v>2479.1999999999998</v>
      </c>
      <c r="K43" s="27">
        <f t="shared" si="1"/>
        <v>0.37118217750628818</v>
      </c>
    </row>
    <row r="44" spans="1:11" x14ac:dyDescent="0.25">
      <c r="A44" s="22" t="s">
        <v>109</v>
      </c>
      <c r="B44" s="15">
        <v>45375</v>
      </c>
      <c r="C44" s="22" t="s">
        <v>22</v>
      </c>
      <c r="D44" s="31" t="str">
        <f>_xlfn.XLOOKUP(C44, ТаблицаТовары[ID товара], ТаблицаТовары[Название])</f>
        <v>Ноутбук Lenovo IdeaPad</v>
      </c>
      <c r="E44" s="17" t="str">
        <f>_xlfn.XLOOKUP(C44,ТаблицаТовары[ID товара],ТаблицаТовары[Категория])</f>
        <v>Электроника</v>
      </c>
      <c r="F44" s="29">
        <v>1</v>
      </c>
      <c r="G44" s="19">
        <f>_xlfn.XLOOKUP(C44, ТаблицаТовары[ID товара], ТаблицаТовары[Цена], "Цена не найдена")</f>
        <v>64990</v>
      </c>
      <c r="H44" s="25">
        <f>MAX(
    (MONTH(B44)=11)*0.15,
    (MONTH(B44)=3)*0.1,
    (OR(C44="Т-003",C44="Т-009",C44="Т-018"))*0.12,
    (F44&gt;=3)*0.08,
    (VLOOKUP(C44,ТаблицаТовары[[ID товара]:[Категория]],3,FALSE)="Одежда")*0.1,
    0
)</f>
        <v>0.1</v>
      </c>
      <c r="I44" s="19">
        <f t="shared" si="0"/>
        <v>58491</v>
      </c>
      <c r="J44" s="19">
        <f>F44*((G44*(1-H44)) - _xlfn.XLOOKUP(C44,ТаблицаТовары[ID товара],ТаблицаТовары[Себестоимость],0))</f>
        <v>10691</v>
      </c>
      <c r="K44" s="27">
        <f t="shared" si="1"/>
        <v>0.18278025679164317</v>
      </c>
    </row>
    <row r="45" spans="1:11" x14ac:dyDescent="0.25">
      <c r="A45" s="22" t="s">
        <v>110</v>
      </c>
      <c r="B45" s="15">
        <v>45653</v>
      </c>
      <c r="C45" s="22" t="s">
        <v>26</v>
      </c>
      <c r="D45" s="31" t="str">
        <f>_xlfn.XLOOKUP(C45, ТаблицаТовары[ID товара], ТаблицаТовары[Название])</f>
        <v>Футболка хлопковая</v>
      </c>
      <c r="E45" s="17" t="str">
        <f>_xlfn.XLOOKUP(C45,ТаблицаТовары[ID товара],ТаблицаТовары[Категория])</f>
        <v>Одежда</v>
      </c>
      <c r="F45" s="29">
        <v>2</v>
      </c>
      <c r="G45" s="19">
        <f>_xlfn.XLOOKUP(C45, ТаблицаТовары[ID товара], ТаблицаТовары[Цена], "Цена не найдена")</f>
        <v>990</v>
      </c>
      <c r="H45" s="25">
        <f>MAX(
    (MONTH(B45)=11)*0.15,
    (MONTH(B45)=3)*0.1,
    (OR(C45="Т-003",C45="Т-009",C45="Т-018"))*0.12,
    (F45&gt;=3)*0.08,
    (VLOOKUP(C45,ТаблицаТовары[[ID товара]:[Категория]],3,FALSE)="Одежда")*0.1,
    0
)</f>
        <v>0.12</v>
      </c>
      <c r="I45" s="19">
        <f t="shared" si="0"/>
        <v>1742.4</v>
      </c>
      <c r="J45" s="19">
        <f>F45*((G45*(1-H45)) - _xlfn.XLOOKUP(C45,ТаблицаТовары[ID товара],ТаблицаТовары[Себестоимость],0))</f>
        <v>1042.4000000000001</v>
      </c>
      <c r="K45" s="27">
        <f t="shared" si="1"/>
        <v>0.59825528007346196</v>
      </c>
    </row>
    <row r="46" spans="1:11" x14ac:dyDescent="0.25">
      <c r="A46" s="22" t="s">
        <v>111</v>
      </c>
      <c r="B46" s="15">
        <v>45546</v>
      </c>
      <c r="C46" s="22" t="s">
        <v>39</v>
      </c>
      <c r="D46" s="31" t="str">
        <f>_xlfn.XLOOKUP(C46, ТаблицаТовары[ID товара], ТаблицаТовары[Название])</f>
        <v>Джинсы Levi's 501</v>
      </c>
      <c r="E46" s="17" t="str">
        <f>_xlfn.XLOOKUP(C46,ТаблицаТовары[ID товара],ТаблицаТовары[Категория])</f>
        <v>Одежда</v>
      </c>
      <c r="F46" s="29">
        <v>2</v>
      </c>
      <c r="G46" s="19">
        <f>_xlfn.XLOOKUP(C46, ТаблицаТовары[ID товара], ТаблицаТовары[Цена], "Цена не найдена")</f>
        <v>5990</v>
      </c>
      <c r="H46" s="25">
        <f>MAX(
    (MONTH(B46)=11)*0.15,
    (MONTH(B46)=3)*0.1,
    (OR(C46="Т-003",C46="Т-009",C46="Т-018"))*0.12,
    (F46&gt;=3)*0.08,
    (VLOOKUP(C46,ТаблицаТовары[[ID товара]:[Категория]],3,FALSE)="Одежда")*0.1,
    0
)</f>
        <v>0.1</v>
      </c>
      <c r="I46" s="19">
        <f t="shared" si="0"/>
        <v>10782</v>
      </c>
      <c r="J46" s="19">
        <f>F46*((G46*(1-H46)) - _xlfn.XLOOKUP(C46,ТаблицаТовары[ID товара],ТаблицаТовары[Себестоимость],0))</f>
        <v>4982</v>
      </c>
      <c r="K46" s="27">
        <f t="shared" si="1"/>
        <v>0.46206640697458728</v>
      </c>
    </row>
    <row r="47" spans="1:11" x14ac:dyDescent="0.25">
      <c r="A47" s="22" t="s">
        <v>112</v>
      </c>
      <c r="B47" s="15">
        <v>45398</v>
      </c>
      <c r="C47" s="22" t="s">
        <v>5</v>
      </c>
      <c r="D47" s="31" t="str">
        <f>_xlfn.XLOOKUP(C47, ТаблицаТовары[ID товара], ТаблицаТовары[Название])</f>
        <v>Смартфон Galaxy A54</v>
      </c>
      <c r="E47" s="17" t="str">
        <f>_xlfn.XLOOKUP(C47,ТаблицаТовары[ID товара],ТаблицаТовары[Категория])</f>
        <v>Электроника</v>
      </c>
      <c r="F47" s="29">
        <v>1</v>
      </c>
      <c r="G47" s="19">
        <f>_xlfn.XLOOKUP(C47, ТаблицаТовары[ID товара], ТаблицаТовары[Цена], "Цена не найдена")</f>
        <v>29990</v>
      </c>
      <c r="H47" s="25">
        <f>MAX(
    (MONTH(B47)=11)*0.15,
    (MONTH(B47)=3)*0.1,
    (OR(C47="Т-003",C47="Т-009",C47="Т-018"))*0.12,
    (F47&gt;=3)*0.08,
    (VLOOKUP(C47,ТаблицаТовары[[ID товара]:[Категория]],3,FALSE)="Одежда")*0.1,
    0
)</f>
        <v>0</v>
      </c>
      <c r="I47" s="19">
        <f t="shared" si="0"/>
        <v>29990</v>
      </c>
      <c r="J47" s="19">
        <f>F47*((G47*(1-H47)) - _xlfn.XLOOKUP(C47,ТаблицаТовары[ID товара],ТаблицаТовары[Себестоимость],0))</f>
        <v>8490</v>
      </c>
      <c r="K47" s="27">
        <f t="shared" si="1"/>
        <v>0.28309436478826278</v>
      </c>
    </row>
    <row r="48" spans="1:11" x14ac:dyDescent="0.25">
      <c r="A48" s="22" t="s">
        <v>113</v>
      </c>
      <c r="B48" s="15">
        <v>45416</v>
      </c>
      <c r="C48" s="22" t="s">
        <v>5</v>
      </c>
      <c r="D48" s="31" t="str">
        <f>_xlfn.XLOOKUP(C48, ТаблицаТовары[ID товара], ТаблицаТовары[Название])</f>
        <v>Смартфон Galaxy A54</v>
      </c>
      <c r="E48" s="17" t="str">
        <f>_xlfn.XLOOKUP(C48,ТаблицаТовары[ID товара],ТаблицаТовары[Категория])</f>
        <v>Электроника</v>
      </c>
      <c r="F48" s="29">
        <v>3</v>
      </c>
      <c r="G48" s="19">
        <f>_xlfn.XLOOKUP(C48, ТаблицаТовары[ID товара], ТаблицаТовары[Цена], "Цена не найдена")</f>
        <v>29990</v>
      </c>
      <c r="H48" s="25">
        <f>MAX(
    (MONTH(B48)=11)*0.15,
    (MONTH(B48)=3)*0.1,
    (OR(C48="Т-003",C48="Т-009",C48="Т-018"))*0.12,
    (F48&gt;=3)*0.08,
    (VLOOKUP(C48,ТаблицаТовары[[ID товара]:[Категория]],3,FALSE)="Одежда")*0.1,
    0
)</f>
        <v>0.08</v>
      </c>
      <c r="I48" s="19">
        <f t="shared" si="0"/>
        <v>82772.400000000009</v>
      </c>
      <c r="J48" s="19">
        <f>F48*((G48*(1-H48)) - _xlfn.XLOOKUP(C48,ТаблицаТовары[ID товара],ТаблицаТовары[Себестоимость],0))</f>
        <v>18272.400000000009</v>
      </c>
      <c r="K48" s="27">
        <f t="shared" si="1"/>
        <v>0.22075474433506828</v>
      </c>
    </row>
    <row r="49" spans="1:11" x14ac:dyDescent="0.25">
      <c r="A49" s="22" t="s">
        <v>114</v>
      </c>
      <c r="B49" s="15">
        <v>45579</v>
      </c>
      <c r="C49" s="22" t="s">
        <v>43</v>
      </c>
      <c r="D49" s="31" t="str">
        <f>_xlfn.XLOOKUP(C49, ТаблицаТовары[ID товара], ТаблицаТовары[Название])</f>
        <v>Беговая дорожка</v>
      </c>
      <c r="E49" s="17" t="str">
        <f>_xlfn.XLOOKUP(C49,ТаблицаТовары[ID товара],ТаблицаТовары[Категория])</f>
        <v>Спорт</v>
      </c>
      <c r="F49" s="29">
        <v>1</v>
      </c>
      <c r="G49" s="19">
        <f>_xlfn.XLOOKUP(C49, ТаблицаТовары[ID товара], ТаблицаТовары[Цена], "Цена не найдена")</f>
        <v>79990</v>
      </c>
      <c r="H49" s="25">
        <f>MAX(
    (MONTH(B49)=11)*0.15,
    (MONTH(B49)=3)*0.1,
    (OR(C49="Т-003",C49="Т-009",C49="Т-018"))*0.12,
    (F49&gt;=3)*0.08,
    (VLOOKUP(C49,ТаблицаТовары[[ID товара]:[Категория]],3,FALSE)="Одежда")*0.1,
    0
)</f>
        <v>0</v>
      </c>
      <c r="I49" s="19">
        <f t="shared" si="0"/>
        <v>79990</v>
      </c>
      <c r="J49" s="19">
        <f>F49*((G49*(1-H49)) - _xlfn.XLOOKUP(C49,ТаблицаТовары[ID товара],ТаблицаТовары[Себестоимость],0))</f>
        <v>21090</v>
      </c>
      <c r="K49" s="27">
        <f t="shared" si="1"/>
        <v>0.26365795724465557</v>
      </c>
    </row>
    <row r="50" spans="1:11" x14ac:dyDescent="0.25">
      <c r="A50" s="22" t="s">
        <v>115</v>
      </c>
      <c r="B50" s="15">
        <v>45624</v>
      </c>
      <c r="C50" s="22" t="s">
        <v>37</v>
      </c>
      <c r="D50" s="31" t="str">
        <f>_xlfn.XLOOKUP(C50, ТаблицаТовары[ID товара], ТаблицаТовары[Название])</f>
        <v>Набор посуды 12 предметов</v>
      </c>
      <c r="E50" s="17" t="str">
        <f>_xlfn.XLOOKUP(C50,ТаблицаТовары[ID товара],ТаблицаТовары[Категория])</f>
        <v>Для дома</v>
      </c>
      <c r="F50" s="29">
        <v>2</v>
      </c>
      <c r="G50" s="19">
        <f>_xlfn.XLOOKUP(C50, ТаблицаТовары[ID товара], ТаблицаТовары[Цена], "Цена не найдена")</f>
        <v>14990</v>
      </c>
      <c r="H50" s="25">
        <f>MAX(
    (MONTH(B50)=11)*0.15,
    (MONTH(B50)=3)*0.1,
    (OR(C50="Т-003",C50="Т-009",C50="Т-018"))*0.12,
    (F50&gt;=3)*0.08,
    (VLOOKUP(C50,ТаблицаТовары[[ID товара]:[Категория]],3,FALSE)="Одежда")*0.1,
    0
)</f>
        <v>0.15</v>
      </c>
      <c r="I50" s="19">
        <f t="shared" si="0"/>
        <v>25483</v>
      </c>
      <c r="J50" s="19">
        <f>F50*((G50*(1-H50)) - _xlfn.XLOOKUP(C50,ТаблицаТовары[ID товара],ТаблицаТовары[Себестоимость],0))</f>
        <v>8283</v>
      </c>
      <c r="K50" s="27">
        <f t="shared" si="1"/>
        <v>0.32504022289369383</v>
      </c>
    </row>
    <row r="51" spans="1:11" x14ac:dyDescent="0.25">
      <c r="A51" s="22" t="s">
        <v>116</v>
      </c>
      <c r="B51" s="15">
        <v>45426</v>
      </c>
      <c r="C51" s="22" t="s">
        <v>22</v>
      </c>
      <c r="D51" s="31" t="str">
        <f>_xlfn.XLOOKUP(C51, ТаблицаТовары[ID товара], ТаблицаТовары[Название])</f>
        <v>Ноутбук Lenovo IdeaPad</v>
      </c>
      <c r="E51" s="17" t="str">
        <f>_xlfn.XLOOKUP(C51,ТаблицаТовары[ID товара],ТаблицаТовары[Категория])</f>
        <v>Электроника</v>
      </c>
      <c r="F51" s="29">
        <v>2</v>
      </c>
      <c r="G51" s="19">
        <f>_xlfn.XLOOKUP(C51, ТаблицаТовары[ID товара], ТаблицаТовары[Цена], "Цена не найдена")</f>
        <v>64990</v>
      </c>
      <c r="H51" s="25">
        <f>MAX(
    (MONTH(B51)=11)*0.15,
    (MONTH(B51)=3)*0.1,
    (OR(C51="Т-003",C51="Т-009",C51="Т-018"))*0.12,
    (F51&gt;=3)*0.08,
    (VLOOKUP(C51,ТаблицаТовары[[ID товара]:[Категория]],3,FALSE)="Одежда")*0.1,
    0
)</f>
        <v>0</v>
      </c>
      <c r="I51" s="19">
        <f t="shared" si="0"/>
        <v>129980</v>
      </c>
      <c r="J51" s="19">
        <f>F51*((G51*(1-H51)) - _xlfn.XLOOKUP(C51,ТаблицаТовары[ID товара],ТаблицаТовары[Себестоимость],0))</f>
        <v>34380</v>
      </c>
      <c r="K51" s="27">
        <f t="shared" si="1"/>
        <v>0.26450223111247884</v>
      </c>
    </row>
    <row r="52" spans="1:11" x14ac:dyDescent="0.25">
      <c r="A52" s="22" t="s">
        <v>117</v>
      </c>
      <c r="B52" s="15">
        <v>45513</v>
      </c>
      <c r="C52" s="22" t="s">
        <v>22</v>
      </c>
      <c r="D52" s="31" t="str">
        <f>_xlfn.XLOOKUP(C52, ТаблицаТовары[ID товара], ТаблицаТовары[Название])</f>
        <v>Ноутбук Lenovo IdeaPad</v>
      </c>
      <c r="E52" s="17" t="str">
        <f>_xlfn.XLOOKUP(C52,ТаблицаТовары[ID товара],ТаблицаТовары[Категория])</f>
        <v>Электроника</v>
      </c>
      <c r="F52" s="29">
        <v>2</v>
      </c>
      <c r="G52" s="19">
        <f>_xlfn.XLOOKUP(C52, ТаблицаТовары[ID товара], ТаблицаТовары[Цена], "Цена не найдена")</f>
        <v>64990</v>
      </c>
      <c r="H52" s="25">
        <f>MAX(
    (MONTH(B52)=11)*0.15,
    (MONTH(B52)=3)*0.1,
    (OR(C52="Т-003",C52="Т-009",C52="Т-018"))*0.12,
    (F52&gt;=3)*0.08,
    (VLOOKUP(C52,ТаблицаТовары[[ID товара]:[Категория]],3,FALSE)="Одежда")*0.1,
    0
)</f>
        <v>0</v>
      </c>
      <c r="I52" s="19">
        <f t="shared" si="0"/>
        <v>129980</v>
      </c>
      <c r="J52" s="19">
        <f>F52*((G52*(1-H52)) - _xlfn.XLOOKUP(C52,ТаблицаТовары[ID товара],ТаблицаТовары[Себестоимость],0))</f>
        <v>34380</v>
      </c>
      <c r="K52" s="27">
        <f t="shared" si="1"/>
        <v>0.26450223111247884</v>
      </c>
    </row>
    <row r="53" spans="1:11" x14ac:dyDescent="0.25">
      <c r="A53" s="22" t="s">
        <v>118</v>
      </c>
      <c r="B53" s="15">
        <v>45448</v>
      </c>
      <c r="C53" s="22" t="s">
        <v>16</v>
      </c>
      <c r="D53" s="31" t="str">
        <f>_xlfn.XLOOKUP(C53, ТаблицаТовары[ID товара], ТаблицаТовары[Название])</f>
        <v>Кофемашина DeLonghi</v>
      </c>
      <c r="E53" s="17" t="str">
        <f>_xlfn.XLOOKUP(C53,ТаблицаТовары[ID товара],ТаблицаТовары[Категория])</f>
        <v>Для дома</v>
      </c>
      <c r="F53" s="29">
        <v>1</v>
      </c>
      <c r="G53" s="19">
        <f>_xlfn.XLOOKUP(C53, ТаблицаТовары[ID товара], ТаблицаТовары[Цена], "Цена не найдена")</f>
        <v>45990</v>
      </c>
      <c r="H53" s="25">
        <f>MAX(
    (MONTH(B53)=11)*0.15,
    (MONTH(B53)=3)*0.1,
    (OR(C53="Т-003",C53="Т-009",C53="Т-018"))*0.12,
    (F53&gt;=3)*0.08,
    (VLOOKUP(C53,ТаблицаТовары[[ID товара]:[Категория]],3,FALSE)="Одежда")*0.1,
    0
)</f>
        <v>0</v>
      </c>
      <c r="I53" s="19">
        <f t="shared" si="0"/>
        <v>45990</v>
      </c>
      <c r="J53" s="19">
        <f>F53*((G53*(1-H53)) - _xlfn.XLOOKUP(C53,ТаблицаТовары[ID товара],ТаблицаТовары[Себестоимость],0))</f>
        <v>13590</v>
      </c>
      <c r="K53" s="27">
        <f t="shared" si="1"/>
        <v>0.29549902152641877</v>
      </c>
    </row>
    <row r="54" spans="1:11" x14ac:dyDescent="0.25">
      <c r="A54" s="22" t="s">
        <v>119</v>
      </c>
      <c r="B54" s="15">
        <v>45369</v>
      </c>
      <c r="C54" s="22" t="s">
        <v>48</v>
      </c>
      <c r="D54" s="31" t="str">
        <f>_xlfn.XLOOKUP(C54, ТаблицаТовары[ID товара], ТаблицаТовары[Название])</f>
        <v>Микрофон для стримов</v>
      </c>
      <c r="E54" s="17" t="str">
        <f>_xlfn.XLOOKUP(C54,ТаблицаТовары[ID товара],ТаблицаТовары[Категория])</f>
        <v>Электроника</v>
      </c>
      <c r="F54" s="29">
        <v>3</v>
      </c>
      <c r="G54" s="19">
        <f>_xlfn.XLOOKUP(C54, ТаблицаТовары[ID товара], ТаблицаТовары[Цена], "Цена не найдена")</f>
        <v>12990</v>
      </c>
      <c r="H54" s="25">
        <f>MAX(
    (MONTH(B54)=11)*0.15,
    (MONTH(B54)=3)*0.1,
    (OR(C54="Т-003",C54="Т-009",C54="Т-018"))*0.12,
    (F54&gt;=3)*0.08,
    (VLOOKUP(C54,ТаблицаТовары[[ID товара]:[Категория]],3,FALSE)="Одежда")*0.1,
    0
)</f>
        <v>0.1</v>
      </c>
      <c r="I54" s="19">
        <f t="shared" si="0"/>
        <v>35073</v>
      </c>
      <c r="J54" s="19">
        <f>F54*((G54*(1-H54)) - _xlfn.XLOOKUP(C54,ТаблицаТовары[ID товара],ТаблицаТовары[Себестоимость],0))</f>
        <v>8373</v>
      </c>
      <c r="K54" s="27">
        <f t="shared" si="1"/>
        <v>0.23873064750662903</v>
      </c>
    </row>
    <row r="55" spans="1:11" x14ac:dyDescent="0.25">
      <c r="A55" s="22" t="s">
        <v>120</v>
      </c>
      <c r="B55" s="15">
        <v>45499</v>
      </c>
      <c r="C55" s="22" t="s">
        <v>48</v>
      </c>
      <c r="D55" s="31" t="str">
        <f>_xlfn.XLOOKUP(C55, ТаблицаТовары[ID товара], ТаблицаТовары[Название])</f>
        <v>Микрофон для стримов</v>
      </c>
      <c r="E55" s="17" t="str">
        <f>_xlfn.XLOOKUP(C55,ТаблицаТовары[ID товара],ТаблицаТовары[Категория])</f>
        <v>Электроника</v>
      </c>
      <c r="F55" s="29">
        <v>3</v>
      </c>
      <c r="G55" s="19">
        <f>_xlfn.XLOOKUP(C55, ТаблицаТовары[ID товара], ТаблицаТовары[Цена], "Цена не найдена")</f>
        <v>12990</v>
      </c>
      <c r="H55" s="25">
        <f>MAX(
    (MONTH(B55)=11)*0.15,
    (MONTH(B55)=3)*0.1,
    (OR(C55="Т-003",C55="Т-009",C55="Т-018"))*0.12,
    (F55&gt;=3)*0.08,
    (VLOOKUP(C55,ТаблицаТовары[[ID товара]:[Категория]],3,FALSE)="Одежда")*0.1,
    0
)</f>
        <v>0.08</v>
      </c>
      <c r="I55" s="19">
        <f t="shared" si="0"/>
        <v>35852.400000000001</v>
      </c>
      <c r="J55" s="19">
        <f>F55*((G55*(1-H55)) - _xlfn.XLOOKUP(C55,ТаблицаТовары[ID товара],ТаблицаТовары[Себестоимость],0))</f>
        <v>9152.4000000000033</v>
      </c>
      <c r="K55" s="27">
        <f t="shared" si="1"/>
        <v>0.25527998125648499</v>
      </c>
    </row>
    <row r="56" spans="1:11" x14ac:dyDescent="0.25">
      <c r="A56" s="22" t="s">
        <v>121</v>
      </c>
      <c r="B56" s="15">
        <v>45448</v>
      </c>
      <c r="C56" s="22" t="s">
        <v>16</v>
      </c>
      <c r="D56" s="31" t="str">
        <f>_xlfn.XLOOKUP(C56, ТаблицаТовары[ID товара], ТаблицаТовары[Название])</f>
        <v>Кофемашина DeLonghi</v>
      </c>
      <c r="E56" s="17" t="str">
        <f>_xlfn.XLOOKUP(C56,ТаблицаТовары[ID товара],ТаблицаТовары[Категория])</f>
        <v>Для дома</v>
      </c>
      <c r="F56" s="29">
        <v>3</v>
      </c>
      <c r="G56" s="19">
        <f>_xlfn.XLOOKUP(C56, ТаблицаТовары[ID товара], ТаблицаТовары[Цена], "Цена не найдена")</f>
        <v>45990</v>
      </c>
      <c r="H56" s="25">
        <f>MAX(
    (MONTH(B56)=11)*0.15,
    (MONTH(B56)=3)*0.1,
    (OR(C56="Т-003",C56="Т-009",C56="Т-018"))*0.12,
    (F56&gt;=3)*0.08,
    (VLOOKUP(C56,ТаблицаТовары[[ID товара]:[Категория]],3,FALSE)="Одежда")*0.1,
    0
)</f>
        <v>0.08</v>
      </c>
      <c r="I56" s="19">
        <f t="shared" si="0"/>
        <v>126932.40000000001</v>
      </c>
      <c r="J56" s="19">
        <f>F56*((G56*(1-H56)) - _xlfn.XLOOKUP(C56,ТаблицаТовары[ID товара],ТаблицаТовары[Себестоимость],0))</f>
        <v>29732.400000000009</v>
      </c>
      <c r="K56" s="27">
        <f t="shared" si="1"/>
        <v>0.23423806687654222</v>
      </c>
    </row>
    <row r="57" spans="1:11" x14ac:dyDescent="0.25">
      <c r="A57" s="22" t="s">
        <v>122</v>
      </c>
      <c r="B57" s="15">
        <v>45471</v>
      </c>
      <c r="C57" s="22" t="s">
        <v>39</v>
      </c>
      <c r="D57" s="31" t="str">
        <f>_xlfn.XLOOKUP(C57, ТаблицаТовары[ID товара], ТаблицаТовары[Название])</f>
        <v>Джинсы Levi's 501</v>
      </c>
      <c r="E57" s="17" t="str">
        <f>_xlfn.XLOOKUP(C57,ТаблицаТовары[ID товара],ТаблицаТовары[Категория])</f>
        <v>Одежда</v>
      </c>
      <c r="F57" s="29">
        <v>3</v>
      </c>
      <c r="G57" s="19">
        <f>_xlfn.XLOOKUP(C57, ТаблицаТовары[ID товара], ТаблицаТовары[Цена], "Цена не найдена")</f>
        <v>5990</v>
      </c>
      <c r="H57" s="25">
        <f>MAX(
    (MONTH(B57)=11)*0.15,
    (MONTH(B57)=3)*0.1,
    (OR(C57="Т-003",C57="Т-009",C57="Т-018"))*0.12,
    (F57&gt;=3)*0.08,
    (VLOOKUP(C57,ТаблицаТовары[[ID товара]:[Категория]],3,FALSE)="Одежда")*0.1,
    0
)</f>
        <v>0.1</v>
      </c>
      <c r="I57" s="19">
        <f t="shared" si="0"/>
        <v>16173</v>
      </c>
      <c r="J57" s="19">
        <f>F57*((G57*(1-H57)) - _xlfn.XLOOKUP(C57,ТаблицаТовары[ID товара],ТаблицаТовары[Себестоимость],0))</f>
        <v>7473</v>
      </c>
      <c r="K57" s="27">
        <f t="shared" si="1"/>
        <v>0.46206640697458728</v>
      </c>
    </row>
    <row r="58" spans="1:11" x14ac:dyDescent="0.25">
      <c r="A58" s="22" t="s">
        <v>123</v>
      </c>
      <c r="B58" s="15">
        <v>45456</v>
      </c>
      <c r="C58" s="22" t="s">
        <v>19</v>
      </c>
      <c r="D58" s="31" t="str">
        <f>_xlfn.XLOOKUP(C58, ТаблицаТовары[ID товара], ТаблицаТовары[Название])</f>
        <v>Кроссовки Nike Air Max</v>
      </c>
      <c r="E58" s="17" t="str">
        <f>_xlfn.XLOOKUP(C58,ТаблицаТовары[ID товара],ТаблицаТовары[Категория])</f>
        <v>Обувь</v>
      </c>
      <c r="F58" s="29">
        <v>3</v>
      </c>
      <c r="G58" s="19">
        <f>_xlfn.XLOOKUP(C58, ТаблицаТовары[ID товара], ТаблицаТовары[Цена], "Цена не найдена")</f>
        <v>8990</v>
      </c>
      <c r="H58" s="25">
        <f>MAX(
    (MONTH(B58)=11)*0.15,
    (MONTH(B58)=3)*0.1,
    (OR(C58="Т-003",C58="Т-009",C58="Т-018"))*0.12,
    (F58&gt;=3)*0.08,
    (VLOOKUP(C58,ТаблицаТовары[[ID товара]:[Категория]],3,FALSE)="Одежда")*0.1,
    0
)</f>
        <v>0.08</v>
      </c>
      <c r="I58" s="19">
        <f t="shared" si="0"/>
        <v>24812.400000000001</v>
      </c>
      <c r="J58" s="19">
        <f>F58*((G58*(1-H58)) - _xlfn.XLOOKUP(C58,ТаблицаТовары[ID товара],ТаблицаТовары[Себестоимость],0))</f>
        <v>9212.4000000000033</v>
      </c>
      <c r="K58" s="27">
        <f t="shared" si="1"/>
        <v>0.37128210088504143</v>
      </c>
    </row>
    <row r="59" spans="1:11" x14ac:dyDescent="0.25">
      <c r="A59" s="22" t="s">
        <v>124</v>
      </c>
      <c r="B59" s="15">
        <v>45655</v>
      </c>
      <c r="C59" s="22" t="s">
        <v>28</v>
      </c>
      <c r="D59" s="31" t="str">
        <f>_xlfn.XLOOKUP(C59, ТаблицаТовары[ID товара], ТаблицаТовары[Название])</f>
        <v>Монитор 24" Samsung</v>
      </c>
      <c r="E59" s="17" t="str">
        <f>_xlfn.XLOOKUP(C59,ТаблицаТовары[ID товара],ТаблицаТовары[Категория])</f>
        <v>Электроника</v>
      </c>
      <c r="F59" s="29">
        <v>1</v>
      </c>
      <c r="G59" s="19">
        <f>_xlfn.XLOOKUP(C59, ТаблицаТовары[ID товара], ТаблицаТовары[Цена], "Цена не найдена")</f>
        <v>18990</v>
      </c>
      <c r="H59" s="25">
        <f>MAX(
    (MONTH(B59)=11)*0.15,
    (MONTH(B59)=3)*0.1,
    (OR(C59="Т-003",C59="Т-009",C59="Т-018"))*0.12,
    (F59&gt;=3)*0.08,
    (VLOOKUP(C59,ТаблицаТовары[[ID товара]:[Категория]],3,FALSE)="Одежда")*0.1,
    0
)</f>
        <v>0</v>
      </c>
      <c r="I59" s="19">
        <f t="shared" si="0"/>
        <v>18990</v>
      </c>
      <c r="J59" s="19">
        <f>F59*((G59*(1-H59)) - _xlfn.XLOOKUP(C59,ТаблицаТовары[ID товара],ТаблицаТовары[Себестоимость],0))</f>
        <v>5790</v>
      </c>
      <c r="K59" s="27">
        <f t="shared" si="1"/>
        <v>0.30489731437598738</v>
      </c>
    </row>
    <row r="60" spans="1:11" x14ac:dyDescent="0.25">
      <c r="A60" s="22" t="s">
        <v>125</v>
      </c>
      <c r="B60" s="15">
        <v>45498</v>
      </c>
      <c r="C60" s="22" t="s">
        <v>39</v>
      </c>
      <c r="D60" s="31" t="str">
        <f>_xlfn.XLOOKUP(C60, ТаблицаТовары[ID товара], ТаблицаТовары[Название])</f>
        <v>Джинсы Levi's 501</v>
      </c>
      <c r="E60" s="17" t="str">
        <f>_xlfn.XLOOKUP(C60,ТаблицаТовары[ID товара],ТаблицаТовары[Категория])</f>
        <v>Одежда</v>
      </c>
      <c r="F60" s="29">
        <v>3</v>
      </c>
      <c r="G60" s="19">
        <f>_xlfn.XLOOKUP(C60, ТаблицаТовары[ID товара], ТаблицаТовары[Цена], "Цена не найдена")</f>
        <v>5990</v>
      </c>
      <c r="H60" s="25">
        <f>MAX(
    (MONTH(B60)=11)*0.15,
    (MONTH(B60)=3)*0.1,
    (OR(C60="Т-003",C60="Т-009",C60="Т-018"))*0.12,
    (F60&gt;=3)*0.08,
    (VLOOKUP(C60,ТаблицаТовары[[ID товара]:[Категория]],3,FALSE)="Одежда")*0.1,
    0
)</f>
        <v>0.1</v>
      </c>
      <c r="I60" s="19">
        <f t="shared" si="0"/>
        <v>16173</v>
      </c>
      <c r="J60" s="19">
        <f>F60*((G60*(1-H60)) - _xlfn.XLOOKUP(C60,ТаблицаТовары[ID товара],ТаблицаТовары[Себестоимость],0))</f>
        <v>7473</v>
      </c>
      <c r="K60" s="27">
        <f t="shared" si="1"/>
        <v>0.46206640697458728</v>
      </c>
    </row>
    <row r="61" spans="1:11" x14ac:dyDescent="0.25">
      <c r="A61" s="22" t="s">
        <v>126</v>
      </c>
      <c r="B61" s="15">
        <v>45319</v>
      </c>
      <c r="C61" s="22" t="s">
        <v>13</v>
      </c>
      <c r="D61" s="31" t="str">
        <f>_xlfn.XLOOKUP(C61, ТаблицаТовары[ID товара], ТаблицаТовары[Название])</f>
        <v>Куртка зимняя North Face</v>
      </c>
      <c r="E61" s="17" t="str">
        <f>_xlfn.XLOOKUP(C61,ТаблицаТовары[ID товара],ТаблицаТовары[Категория])</f>
        <v>Одежда</v>
      </c>
      <c r="F61" s="29">
        <v>1</v>
      </c>
      <c r="G61" s="19">
        <f>_xlfn.XLOOKUP(C61, ТаблицаТовары[ID товара], ТаблицаТовары[Цена], "Цена не найдена")</f>
        <v>12990</v>
      </c>
      <c r="H61" s="25">
        <f>MAX(
    (MONTH(B61)=11)*0.15,
    (MONTH(B61)=3)*0.1,
    (OR(C61="Т-003",C61="Т-009",C61="Т-018"))*0.12,
    (F61&gt;=3)*0.08,
    (VLOOKUP(C61,ТаблицаТовары[[ID товара]:[Категория]],3,FALSE)="Одежда")*0.1,
    0
)</f>
        <v>0.1</v>
      </c>
      <c r="I61" s="19">
        <f t="shared" si="0"/>
        <v>11691</v>
      </c>
      <c r="J61" s="19">
        <f>F61*((G61*(1-H61)) - _xlfn.XLOOKUP(C61,ТаблицаТовары[ID товара],ТаблицаТовары[Себестоимость],0))</f>
        <v>4191</v>
      </c>
      <c r="K61" s="27">
        <f t="shared" si="1"/>
        <v>0.35848088273030537</v>
      </c>
    </row>
    <row r="62" spans="1:11" x14ac:dyDescent="0.25">
      <c r="A62" s="22" t="s">
        <v>127</v>
      </c>
      <c r="B62" s="15">
        <v>45577</v>
      </c>
      <c r="C62" s="22" t="s">
        <v>13</v>
      </c>
      <c r="D62" s="31" t="str">
        <f>_xlfn.XLOOKUP(C62, ТаблицаТовары[ID товара], ТаблицаТовары[Название])</f>
        <v>Куртка зимняя North Face</v>
      </c>
      <c r="E62" s="17" t="str">
        <f>_xlfn.XLOOKUP(C62,ТаблицаТовары[ID товара],ТаблицаТовары[Категория])</f>
        <v>Одежда</v>
      </c>
      <c r="F62" s="29">
        <v>3</v>
      </c>
      <c r="G62" s="19">
        <f>_xlfn.XLOOKUP(C62, ТаблицаТовары[ID товара], ТаблицаТовары[Цена], "Цена не найдена")</f>
        <v>12990</v>
      </c>
      <c r="H62" s="25">
        <f>MAX(
    (MONTH(B62)=11)*0.15,
    (MONTH(B62)=3)*0.1,
    (OR(C62="Т-003",C62="Т-009",C62="Т-018"))*0.12,
    (F62&gt;=3)*0.08,
    (VLOOKUP(C62,ТаблицаТовары[[ID товара]:[Категория]],3,FALSE)="Одежда")*0.1,
    0
)</f>
        <v>0.1</v>
      </c>
      <c r="I62" s="19">
        <f t="shared" si="0"/>
        <v>35073</v>
      </c>
      <c r="J62" s="19">
        <f>F62*((G62*(1-H62)) - _xlfn.XLOOKUP(C62,ТаблицаТовары[ID товара],ТаблицаТовары[Себестоимость],0))</f>
        <v>12573</v>
      </c>
      <c r="K62" s="27">
        <f t="shared" si="1"/>
        <v>0.35848088273030537</v>
      </c>
    </row>
    <row r="63" spans="1:11" x14ac:dyDescent="0.25">
      <c r="A63" s="22" t="s">
        <v>128</v>
      </c>
      <c r="B63" s="15">
        <v>45562</v>
      </c>
      <c r="C63" s="22" t="s">
        <v>28</v>
      </c>
      <c r="D63" s="31" t="str">
        <f>_xlfn.XLOOKUP(C63, ТаблицаТовары[ID товара], ТаблицаТовары[Название])</f>
        <v>Монитор 24" Samsung</v>
      </c>
      <c r="E63" s="17" t="str">
        <f>_xlfn.XLOOKUP(C63,ТаблицаТовары[ID товара],ТаблицаТовары[Категория])</f>
        <v>Электроника</v>
      </c>
      <c r="F63" s="29">
        <v>2</v>
      </c>
      <c r="G63" s="19">
        <f>_xlfn.XLOOKUP(C63, ТаблицаТовары[ID товара], ТаблицаТовары[Цена], "Цена не найдена")</f>
        <v>18990</v>
      </c>
      <c r="H63" s="25">
        <f>MAX(
    (MONTH(B63)=11)*0.15,
    (MONTH(B63)=3)*0.1,
    (OR(C63="Т-003",C63="Т-009",C63="Т-018"))*0.12,
    (F63&gt;=3)*0.08,
    (VLOOKUP(C63,ТаблицаТовары[[ID товара]:[Категория]],3,FALSE)="Одежда")*0.1,
    0
)</f>
        <v>0</v>
      </c>
      <c r="I63" s="19">
        <f t="shared" si="0"/>
        <v>37980</v>
      </c>
      <c r="J63" s="19">
        <f>F63*((G63*(1-H63)) - _xlfn.XLOOKUP(C63,ТаблицаТовары[ID товара],ТаблицаТовары[Себестоимость],0))</f>
        <v>11580</v>
      </c>
      <c r="K63" s="27">
        <f t="shared" si="1"/>
        <v>0.30489731437598738</v>
      </c>
    </row>
    <row r="64" spans="1:11" x14ac:dyDescent="0.25">
      <c r="A64" s="22" t="s">
        <v>129</v>
      </c>
      <c r="B64" s="15">
        <v>45633</v>
      </c>
      <c r="C64" s="22" t="s">
        <v>46</v>
      </c>
      <c r="D64" s="31" t="str">
        <f>_xlfn.XLOOKUP(C64, ТаблицаТовары[ID товара], ТаблицаТовары[Название])</f>
        <v>Сумка кожаная женская</v>
      </c>
      <c r="E64" s="17" t="str">
        <f>_xlfn.XLOOKUP(C64,ТаблицаТовары[ID товара],ТаблицаТовары[Категория])</f>
        <v>Аксессуары</v>
      </c>
      <c r="F64" s="29">
        <v>3</v>
      </c>
      <c r="G64" s="19">
        <f>_xlfn.XLOOKUP(C64, ТаблицаТовары[ID товара], ТаблицаТовары[Цена], "Цена не найдена")</f>
        <v>7590</v>
      </c>
      <c r="H64" s="25">
        <f>MAX(
    (MONTH(B64)=11)*0.15,
    (MONTH(B64)=3)*0.1,
    (OR(C64="Т-003",C64="Т-009",C64="Т-018"))*0.12,
    (F64&gt;=3)*0.08,
    (VLOOKUP(C64,ТаблицаТовары[[ID товара]:[Категория]],3,FALSE)="Одежда")*0.1,
    0
)</f>
        <v>0.12</v>
      </c>
      <c r="I64" s="19">
        <f t="shared" si="0"/>
        <v>20037.599999999999</v>
      </c>
      <c r="J64" s="19">
        <f>F64*((G64*(1-H64)) - _xlfn.XLOOKUP(C64,ТаблицаТовары[ID товара],ТаблицаТовары[Себестоимость],0))</f>
        <v>7437.5999999999995</v>
      </c>
      <c r="K64" s="27">
        <f t="shared" si="1"/>
        <v>0.37118217750628818</v>
      </c>
    </row>
    <row r="65" spans="1:11" x14ac:dyDescent="0.25">
      <c r="A65" s="22" t="s">
        <v>130</v>
      </c>
      <c r="B65" s="15">
        <v>45640</v>
      </c>
      <c r="C65" s="22" t="s">
        <v>16</v>
      </c>
      <c r="D65" s="31" t="str">
        <f>_xlfn.XLOOKUP(C65, ТаблицаТовары[ID товара], ТаблицаТовары[Название])</f>
        <v>Кофемашина DeLonghi</v>
      </c>
      <c r="E65" s="17" t="str">
        <f>_xlfn.XLOOKUP(C65,ТаблицаТовары[ID товара],ТаблицаТовары[Категория])</f>
        <v>Для дома</v>
      </c>
      <c r="F65" s="29">
        <v>1</v>
      </c>
      <c r="G65" s="19">
        <f>_xlfn.XLOOKUP(C65, ТаблицаТовары[ID товара], ТаблицаТовары[Цена], "Цена не найдена")</f>
        <v>45990</v>
      </c>
      <c r="H65" s="25">
        <f>MAX(
    (MONTH(B65)=11)*0.15,
    (MONTH(B65)=3)*0.1,
    (OR(C65="Т-003",C65="Т-009",C65="Т-018"))*0.12,
    (F65&gt;=3)*0.08,
    (VLOOKUP(C65,ТаблицаТовары[[ID товара]:[Категория]],3,FALSE)="Одежда")*0.1,
    0
)</f>
        <v>0</v>
      </c>
      <c r="I65" s="19">
        <f t="shared" si="0"/>
        <v>45990</v>
      </c>
      <c r="J65" s="19">
        <f>F65*((G65*(1-H65)) - _xlfn.XLOOKUP(C65,ТаблицаТовары[ID товара],ТаблицаТовары[Себестоимость],0))</f>
        <v>13590</v>
      </c>
      <c r="K65" s="27">
        <f t="shared" si="1"/>
        <v>0.29549902152641877</v>
      </c>
    </row>
    <row r="66" spans="1:11" x14ac:dyDescent="0.25">
      <c r="A66" s="22" t="s">
        <v>131</v>
      </c>
      <c r="B66" s="15">
        <v>45588</v>
      </c>
      <c r="C66" s="22" t="s">
        <v>30</v>
      </c>
      <c r="D66" s="31" t="str">
        <f>_xlfn.XLOOKUP(C66, ТаблицаТовары[ID товара], ТаблицаТовары[Название])</f>
        <v>Кресло офисное</v>
      </c>
      <c r="E66" s="17" t="str">
        <f>_xlfn.XLOOKUP(C66,ТаблицаТовары[ID товара],ТаблицаТовары[Категория])</f>
        <v>Для дома</v>
      </c>
      <c r="F66" s="29">
        <v>1</v>
      </c>
      <c r="G66" s="19">
        <f>_xlfn.XLOOKUP(C66, ТаблицаТовары[ID товара], ТаблицаТовары[Цена], "Цена не найдена")</f>
        <v>21990</v>
      </c>
      <c r="H66" s="25">
        <f>MAX(
    (MONTH(B66)=11)*0.15,
    (MONTH(B66)=3)*0.1,
    (OR(C66="Т-003",C66="Т-009",C66="Т-018"))*0.12,
    (F66&gt;=3)*0.08,
    (VLOOKUP(C66,ТаблицаТовары[[ID товара]:[Категория]],3,FALSE)="Одежда")*0.1,
    0
)</f>
        <v>0</v>
      </c>
      <c r="I66" s="19">
        <f t="shared" si="0"/>
        <v>21990</v>
      </c>
      <c r="J66" s="19">
        <f>F66*((G66*(1-H66)) - _xlfn.XLOOKUP(C66,ТаблицаТовары[ID товара],ТаблицаТовары[Себестоимость],0))</f>
        <v>7490</v>
      </c>
      <c r="K66" s="27">
        <f t="shared" si="1"/>
        <v>0.34060936789449747</v>
      </c>
    </row>
    <row r="67" spans="1:11" x14ac:dyDescent="0.25">
      <c r="A67" s="22" t="s">
        <v>132</v>
      </c>
      <c r="B67" s="15">
        <v>45546</v>
      </c>
      <c r="C67" s="22" t="s">
        <v>37</v>
      </c>
      <c r="D67" s="31" t="str">
        <f>_xlfn.XLOOKUP(C67, ТаблицаТовары[ID товара], ТаблицаТовары[Название])</f>
        <v>Набор посуды 12 предметов</v>
      </c>
      <c r="E67" s="17" t="str">
        <f>_xlfn.XLOOKUP(C67,ТаблицаТовары[ID товара],ТаблицаТовары[Категория])</f>
        <v>Для дома</v>
      </c>
      <c r="F67" s="29">
        <v>1</v>
      </c>
      <c r="G67" s="19">
        <f>_xlfn.XLOOKUP(C67, ТаблицаТовары[ID товара], ТаблицаТовары[Цена], "Цена не найдена")</f>
        <v>14990</v>
      </c>
      <c r="H67" s="25">
        <f>MAX(
    (MONTH(B67)=11)*0.15,
    (MONTH(B67)=3)*0.1,
    (OR(C67="Т-003",C67="Т-009",C67="Т-018"))*0.12,
    (F67&gt;=3)*0.08,
    (VLOOKUP(C67,ТаблицаТовары[[ID товара]:[Категория]],3,FALSE)="Одежда")*0.1,
    0
)</f>
        <v>0</v>
      </c>
      <c r="I67" s="19">
        <f t="shared" ref="I67:I130" si="2">F67*G67*(1-H67)</f>
        <v>14990</v>
      </c>
      <c r="J67" s="19">
        <f>F67*((G67*(1-H67)) - _xlfn.XLOOKUP(C67,ТаблицаТовары[ID товара],ТаблицаТовары[Себестоимость],0))</f>
        <v>6390</v>
      </c>
      <c r="K67" s="27">
        <f t="shared" ref="K67:K130" si="3">IFERROR(J67/I67, 0)</f>
        <v>0.42628418945963975</v>
      </c>
    </row>
    <row r="68" spans="1:11" x14ac:dyDescent="0.25">
      <c r="A68" s="22" t="s">
        <v>133</v>
      </c>
      <c r="B68" s="15">
        <v>45581</v>
      </c>
      <c r="C68" s="22" t="s">
        <v>8</v>
      </c>
      <c r="D68" s="31" t="str">
        <f>_xlfn.XLOOKUP(C68, ТаблицаТовары[ID товара], ТаблицаТовары[Название])</f>
        <v>Наушники Sony WH-1000XM5</v>
      </c>
      <c r="E68" s="17" t="str">
        <f>_xlfn.XLOOKUP(C68,ТаблицаТовары[ID товара],ТаблицаТовары[Категория])</f>
        <v>Электроника</v>
      </c>
      <c r="F68" s="29">
        <v>2</v>
      </c>
      <c r="G68" s="19">
        <f>_xlfn.XLOOKUP(C68, ТаблицаТовары[ID товара], ТаблицаТовары[Цена], "Цена не найдена")</f>
        <v>26990</v>
      </c>
      <c r="H68" s="25">
        <f>MAX(
    (MONTH(B68)=11)*0.15,
    (MONTH(B68)=3)*0.1,
    (OR(C68="Т-003",C68="Т-009",C68="Т-018"))*0.12,
    (F68&gt;=3)*0.08,
    (VLOOKUP(C68,ТаблицаТовары[[ID товара]:[Категория]],3,FALSE)="Одежда")*0.1,
    0
)</f>
        <v>0</v>
      </c>
      <c r="I68" s="19">
        <f t="shared" si="2"/>
        <v>53980</v>
      </c>
      <c r="J68" s="19">
        <f>F68*((G68*(1-H68)) - _xlfn.XLOOKUP(C68,ТаблицаТовары[ID товара],ТаблицаТовары[Себестоимость],0))</f>
        <v>16180</v>
      </c>
      <c r="K68" s="27">
        <f t="shared" si="3"/>
        <v>0.29974064468321598</v>
      </c>
    </row>
    <row r="69" spans="1:11" x14ac:dyDescent="0.25">
      <c r="A69" s="22" t="s">
        <v>134</v>
      </c>
      <c r="B69" s="15">
        <v>45368</v>
      </c>
      <c r="C69" s="22" t="s">
        <v>5</v>
      </c>
      <c r="D69" s="31" t="str">
        <f>_xlfn.XLOOKUP(C69, ТаблицаТовары[ID товара], ТаблицаТовары[Название])</f>
        <v>Смартфон Galaxy A54</v>
      </c>
      <c r="E69" s="17" t="str">
        <f>_xlfn.XLOOKUP(C69,ТаблицаТовары[ID товара],ТаблицаТовары[Категория])</f>
        <v>Электроника</v>
      </c>
      <c r="F69" s="29">
        <v>1</v>
      </c>
      <c r="G69" s="19">
        <f>_xlfn.XLOOKUP(C69, ТаблицаТовары[ID товара], ТаблицаТовары[Цена], "Цена не найдена")</f>
        <v>29990</v>
      </c>
      <c r="H69" s="25">
        <f>MAX(
    (MONTH(B69)=11)*0.15,
    (MONTH(B69)=3)*0.1,
    (OR(C69="Т-003",C69="Т-009",C69="Т-018"))*0.12,
    (F69&gt;=3)*0.08,
    (VLOOKUP(C69,ТаблицаТовары[[ID товара]:[Категория]],3,FALSE)="Одежда")*0.1,
    0
)</f>
        <v>0.1</v>
      </c>
      <c r="I69" s="19">
        <f t="shared" si="2"/>
        <v>26991</v>
      </c>
      <c r="J69" s="19">
        <f>F69*((G69*(1-H69)) - _xlfn.XLOOKUP(C69,ТаблицаТовары[ID товара],ТаблицаТовары[Себестоимость],0))</f>
        <v>5491</v>
      </c>
      <c r="K69" s="27">
        <f t="shared" si="3"/>
        <v>0.20343818309806971</v>
      </c>
    </row>
    <row r="70" spans="1:11" x14ac:dyDescent="0.25">
      <c r="A70" s="22" t="s">
        <v>135</v>
      </c>
      <c r="B70" s="15">
        <v>45356</v>
      </c>
      <c r="C70" s="22" t="s">
        <v>43</v>
      </c>
      <c r="D70" s="31" t="str">
        <f>_xlfn.XLOOKUP(C70, ТаблицаТовары[ID товара], ТаблицаТовары[Название])</f>
        <v>Беговая дорожка</v>
      </c>
      <c r="E70" s="17" t="str">
        <f>_xlfn.XLOOKUP(C70,ТаблицаТовары[ID товара],ТаблицаТовары[Категория])</f>
        <v>Спорт</v>
      </c>
      <c r="F70" s="29">
        <v>1</v>
      </c>
      <c r="G70" s="19">
        <f>_xlfn.XLOOKUP(C70, ТаблицаТовары[ID товара], ТаблицаТовары[Цена], "Цена не найдена")</f>
        <v>79990</v>
      </c>
      <c r="H70" s="25">
        <f>MAX(
    (MONTH(B70)=11)*0.15,
    (MONTH(B70)=3)*0.1,
    (OR(C70="Т-003",C70="Т-009",C70="Т-018"))*0.12,
    (F70&gt;=3)*0.08,
    (VLOOKUP(C70,ТаблицаТовары[[ID товара]:[Категория]],3,FALSE)="Одежда")*0.1,
    0
)</f>
        <v>0.1</v>
      </c>
      <c r="I70" s="19">
        <f t="shared" si="2"/>
        <v>71991</v>
      </c>
      <c r="J70" s="19">
        <f>F70*((G70*(1-H70)) - _xlfn.XLOOKUP(C70,ТаблицаТовары[ID товара],ТаблицаТовары[Себестоимость],0))</f>
        <v>13091</v>
      </c>
      <c r="K70" s="27">
        <f t="shared" si="3"/>
        <v>0.18184217471628397</v>
      </c>
    </row>
    <row r="71" spans="1:11" x14ac:dyDescent="0.25">
      <c r="A71" s="22" t="s">
        <v>136</v>
      </c>
      <c r="B71" s="15">
        <v>45657</v>
      </c>
      <c r="C71" s="22" t="s">
        <v>30</v>
      </c>
      <c r="D71" s="31" t="str">
        <f>_xlfn.XLOOKUP(C71, ТаблицаТовары[ID товара], ТаблицаТовары[Название])</f>
        <v>Кресло офисное</v>
      </c>
      <c r="E71" s="17" t="str">
        <f>_xlfn.XLOOKUP(C71,ТаблицаТовары[ID товара],ТаблицаТовары[Категория])</f>
        <v>Для дома</v>
      </c>
      <c r="F71" s="29">
        <v>3</v>
      </c>
      <c r="G71" s="19">
        <f>_xlfn.XLOOKUP(C71, ТаблицаТовары[ID товара], ТаблицаТовары[Цена], "Цена не найдена")</f>
        <v>21990</v>
      </c>
      <c r="H71" s="25">
        <f>MAX(
    (MONTH(B71)=11)*0.15,
    (MONTH(B71)=3)*0.1,
    (OR(C71="Т-003",C71="Т-009",C71="Т-018"))*0.12,
    (F71&gt;=3)*0.08,
    (VLOOKUP(C71,ТаблицаТовары[[ID товара]:[Категория]],3,FALSE)="Одежда")*0.1,
    0
)</f>
        <v>0.08</v>
      </c>
      <c r="I71" s="19">
        <f t="shared" si="2"/>
        <v>60692.4</v>
      </c>
      <c r="J71" s="19">
        <f>F71*((G71*(1-H71)) - _xlfn.XLOOKUP(C71,ТаблицаТовары[ID товара],ТаблицаТовары[Себестоимость],0))</f>
        <v>17192.399999999998</v>
      </c>
      <c r="K71" s="27">
        <f t="shared" si="3"/>
        <v>0.28327105205923636</v>
      </c>
    </row>
    <row r="72" spans="1:11" x14ac:dyDescent="0.25">
      <c r="A72" s="22" t="s">
        <v>137</v>
      </c>
      <c r="B72" s="15">
        <v>45311</v>
      </c>
      <c r="C72" s="22" t="s">
        <v>46</v>
      </c>
      <c r="D72" s="31" t="str">
        <f>_xlfn.XLOOKUP(C72, ТаблицаТовары[ID товара], ТаблицаТовары[Название])</f>
        <v>Сумка кожаная женская</v>
      </c>
      <c r="E72" s="17" t="str">
        <f>_xlfn.XLOOKUP(C72,ТаблицаТовары[ID товара],ТаблицаТовары[Категория])</f>
        <v>Аксессуары</v>
      </c>
      <c r="F72" s="29">
        <v>2</v>
      </c>
      <c r="G72" s="19">
        <f>_xlfn.XLOOKUP(C72, ТаблицаТовары[ID товара], ТаблицаТовары[Цена], "Цена не найдена")</f>
        <v>7590</v>
      </c>
      <c r="H72" s="25">
        <f>MAX(
    (MONTH(B72)=11)*0.15,
    (MONTH(B72)=3)*0.1,
    (OR(C72="Т-003",C72="Т-009",C72="Т-018"))*0.12,
    (F72&gt;=3)*0.08,
    (VLOOKUP(C72,ТаблицаТовары[[ID товара]:[Категория]],3,FALSE)="Одежда")*0.1,
    0
)</f>
        <v>0.12</v>
      </c>
      <c r="I72" s="19">
        <f t="shared" si="2"/>
        <v>13358.4</v>
      </c>
      <c r="J72" s="19">
        <f>F72*((G72*(1-H72)) - _xlfn.XLOOKUP(C72,ТаблицаТовары[ID товара],ТаблицаТовары[Себестоимость],0))</f>
        <v>4958.3999999999996</v>
      </c>
      <c r="K72" s="27">
        <f t="shared" si="3"/>
        <v>0.37118217750628818</v>
      </c>
    </row>
    <row r="73" spans="1:11" x14ac:dyDescent="0.25">
      <c r="A73" s="22" t="s">
        <v>138</v>
      </c>
      <c r="B73" s="15">
        <v>45523</v>
      </c>
      <c r="C73" s="22" t="s">
        <v>39</v>
      </c>
      <c r="D73" s="31" t="str">
        <f>_xlfn.XLOOKUP(C73, ТаблицаТовары[ID товара], ТаблицаТовары[Название])</f>
        <v>Джинсы Levi's 501</v>
      </c>
      <c r="E73" s="17" t="str">
        <f>_xlfn.XLOOKUP(C73,ТаблицаТовары[ID товара],ТаблицаТовары[Категория])</f>
        <v>Одежда</v>
      </c>
      <c r="F73" s="29">
        <v>1</v>
      </c>
      <c r="G73" s="19">
        <f>_xlfn.XLOOKUP(C73, ТаблицаТовары[ID товара], ТаблицаТовары[Цена], "Цена не найдена")</f>
        <v>5990</v>
      </c>
      <c r="H73" s="25">
        <f>MAX(
    (MONTH(B73)=11)*0.15,
    (MONTH(B73)=3)*0.1,
    (OR(C73="Т-003",C73="Т-009",C73="Т-018"))*0.12,
    (F73&gt;=3)*0.08,
    (VLOOKUP(C73,ТаблицаТовары[[ID товара]:[Категория]],3,FALSE)="Одежда")*0.1,
    0
)</f>
        <v>0.1</v>
      </c>
      <c r="I73" s="19">
        <f t="shared" si="2"/>
        <v>5391</v>
      </c>
      <c r="J73" s="19">
        <f>F73*((G73*(1-H73)) - _xlfn.XLOOKUP(C73,ТаблицаТовары[ID товара],ТаблицаТовары[Себестоимость],0))</f>
        <v>2491</v>
      </c>
      <c r="K73" s="27">
        <f t="shared" si="3"/>
        <v>0.46206640697458728</v>
      </c>
    </row>
    <row r="74" spans="1:11" x14ac:dyDescent="0.25">
      <c r="A74" s="22" t="s">
        <v>139</v>
      </c>
      <c r="B74" s="15">
        <v>45593</v>
      </c>
      <c r="C74" s="22" t="s">
        <v>24</v>
      </c>
      <c r="D74" s="31" t="str">
        <f>_xlfn.XLOOKUP(C74, ТаблицаТовары[ID товара], ТаблицаТовары[Название])</f>
        <v>Чайник стеклянный</v>
      </c>
      <c r="E74" s="17" t="str">
        <f>_xlfn.XLOOKUP(C74,ТаблицаТовары[ID товара],ТаблицаТовары[Категория])</f>
        <v>Для дома</v>
      </c>
      <c r="F74" s="29">
        <v>3</v>
      </c>
      <c r="G74" s="19">
        <f>_xlfn.XLOOKUP(C74, ТаблицаТовары[ID товара], ТаблицаТовары[Цена], "Цена не найдена")</f>
        <v>2490</v>
      </c>
      <c r="H74" s="25">
        <f>MAX(
    (MONTH(B74)=11)*0.15,
    (MONTH(B74)=3)*0.1,
    (OR(C74="Т-003",C74="Т-009",C74="Т-018"))*0.12,
    (F74&gt;=3)*0.08,
    (VLOOKUP(C74,ТаблицаТовары[[ID товара]:[Категория]],3,FALSE)="Одежда")*0.1,
    0
)</f>
        <v>0.08</v>
      </c>
      <c r="I74" s="19">
        <f t="shared" si="2"/>
        <v>6872.4000000000005</v>
      </c>
      <c r="J74" s="19">
        <f>F74*((G74*(1-H74)) - _xlfn.XLOOKUP(C74,ТаблицаТовары[ID товара],ТаблицаТовары[Себестоимость],0))</f>
        <v>3272.4000000000005</v>
      </c>
      <c r="K74" s="27">
        <f t="shared" si="3"/>
        <v>0.47616553169198539</v>
      </c>
    </row>
    <row r="75" spans="1:11" x14ac:dyDescent="0.25">
      <c r="A75" s="22" t="s">
        <v>140</v>
      </c>
      <c r="B75" s="15">
        <v>45351</v>
      </c>
      <c r="C75" s="22" t="s">
        <v>19</v>
      </c>
      <c r="D75" s="31" t="str">
        <f>_xlfn.XLOOKUP(C75, ТаблицаТовары[ID товара], ТаблицаТовары[Название])</f>
        <v>Кроссовки Nike Air Max</v>
      </c>
      <c r="E75" s="17" t="str">
        <f>_xlfn.XLOOKUP(C75,ТаблицаТовары[ID товара],ТаблицаТовары[Категория])</f>
        <v>Обувь</v>
      </c>
      <c r="F75" s="29">
        <v>1</v>
      </c>
      <c r="G75" s="19">
        <f>_xlfn.XLOOKUP(C75, ТаблицаТовары[ID товара], ТаблицаТовары[Цена], "Цена не найдена")</f>
        <v>8990</v>
      </c>
      <c r="H75" s="25">
        <f>MAX(
    (MONTH(B75)=11)*0.15,
    (MONTH(B75)=3)*0.1,
    (OR(C75="Т-003",C75="Т-009",C75="Т-018"))*0.12,
    (F75&gt;=3)*0.08,
    (VLOOKUP(C75,ТаблицаТовары[[ID товара]:[Категория]],3,FALSE)="Одежда")*0.1,
    0
)</f>
        <v>0</v>
      </c>
      <c r="I75" s="19">
        <f t="shared" si="2"/>
        <v>8990</v>
      </c>
      <c r="J75" s="19">
        <f>F75*((G75*(1-H75)) - _xlfn.XLOOKUP(C75,ТаблицаТовары[ID товара],ТаблицаТовары[Себестоимость],0))</f>
        <v>3790</v>
      </c>
      <c r="K75" s="27">
        <f t="shared" si="3"/>
        <v>0.42157953281423804</v>
      </c>
    </row>
    <row r="76" spans="1:11" x14ac:dyDescent="0.25">
      <c r="A76" s="22" t="s">
        <v>141</v>
      </c>
      <c r="B76" s="15">
        <v>45397</v>
      </c>
      <c r="C76" s="22" t="s">
        <v>19</v>
      </c>
      <c r="D76" s="31" t="str">
        <f>_xlfn.XLOOKUP(C76, ТаблицаТовары[ID товара], ТаблицаТовары[Название])</f>
        <v>Кроссовки Nike Air Max</v>
      </c>
      <c r="E76" s="17" t="str">
        <f>_xlfn.XLOOKUP(C76,ТаблицаТовары[ID товара],ТаблицаТовары[Категория])</f>
        <v>Обувь</v>
      </c>
      <c r="F76" s="29">
        <v>2</v>
      </c>
      <c r="G76" s="19">
        <f>_xlfn.XLOOKUP(C76, ТаблицаТовары[ID товара], ТаблицаТовары[Цена], "Цена не найдена")</f>
        <v>8990</v>
      </c>
      <c r="H76" s="25">
        <f>MAX(
    (MONTH(B76)=11)*0.15,
    (MONTH(B76)=3)*0.1,
    (OR(C76="Т-003",C76="Т-009",C76="Т-018"))*0.12,
    (F76&gt;=3)*0.08,
    (VLOOKUP(C76,ТаблицаТовары[[ID товара]:[Категория]],3,FALSE)="Одежда")*0.1,
    0
)</f>
        <v>0</v>
      </c>
      <c r="I76" s="19">
        <f t="shared" si="2"/>
        <v>17980</v>
      </c>
      <c r="J76" s="19">
        <f>F76*((G76*(1-H76)) - _xlfn.XLOOKUP(C76,ТаблицаТовары[ID товара],ТаблицаТовары[Себестоимость],0))</f>
        <v>7580</v>
      </c>
      <c r="K76" s="27">
        <f t="shared" si="3"/>
        <v>0.42157953281423804</v>
      </c>
    </row>
    <row r="77" spans="1:11" x14ac:dyDescent="0.25">
      <c r="A77" s="22" t="s">
        <v>142</v>
      </c>
      <c r="B77" s="15">
        <v>45652</v>
      </c>
      <c r="C77" s="22" t="s">
        <v>30</v>
      </c>
      <c r="D77" s="31" t="str">
        <f>_xlfn.XLOOKUP(C77, ТаблицаТовары[ID товара], ТаблицаТовары[Название])</f>
        <v>Кресло офисное</v>
      </c>
      <c r="E77" s="17" t="str">
        <f>_xlfn.XLOOKUP(C77,ТаблицаТовары[ID товара],ТаблицаТовары[Категория])</f>
        <v>Для дома</v>
      </c>
      <c r="F77" s="29">
        <v>1</v>
      </c>
      <c r="G77" s="19">
        <f>_xlfn.XLOOKUP(C77, ТаблицаТовары[ID товара], ТаблицаТовары[Цена], "Цена не найдена")</f>
        <v>21990</v>
      </c>
      <c r="H77" s="25">
        <f>MAX(
    (MONTH(B77)=11)*0.15,
    (MONTH(B77)=3)*0.1,
    (OR(C77="Т-003",C77="Т-009",C77="Т-018"))*0.12,
    (F77&gt;=3)*0.08,
    (VLOOKUP(C77,ТаблицаТовары[[ID товара]:[Категория]],3,FALSE)="Одежда")*0.1,
    0
)</f>
        <v>0</v>
      </c>
      <c r="I77" s="19">
        <f t="shared" si="2"/>
        <v>21990</v>
      </c>
      <c r="J77" s="19">
        <f>F77*((G77*(1-H77)) - _xlfn.XLOOKUP(C77,ТаблицаТовары[ID товара],ТаблицаТовары[Себестоимость],0))</f>
        <v>7490</v>
      </c>
      <c r="K77" s="27">
        <f t="shared" si="3"/>
        <v>0.34060936789449747</v>
      </c>
    </row>
    <row r="78" spans="1:11" x14ac:dyDescent="0.25">
      <c r="A78" s="22" t="s">
        <v>143</v>
      </c>
      <c r="B78" s="15">
        <v>45449</v>
      </c>
      <c r="C78" s="22" t="s">
        <v>13</v>
      </c>
      <c r="D78" s="31" t="str">
        <f>_xlfn.XLOOKUP(C78, ТаблицаТовары[ID товара], ТаблицаТовары[Название])</f>
        <v>Куртка зимняя North Face</v>
      </c>
      <c r="E78" s="17" t="str">
        <f>_xlfn.XLOOKUP(C78,ТаблицаТовары[ID товара],ТаблицаТовары[Категория])</f>
        <v>Одежда</v>
      </c>
      <c r="F78" s="29">
        <v>2</v>
      </c>
      <c r="G78" s="19">
        <f>_xlfn.XLOOKUP(C78, ТаблицаТовары[ID товара], ТаблицаТовары[Цена], "Цена не найдена")</f>
        <v>12990</v>
      </c>
      <c r="H78" s="25">
        <f>MAX(
    (MONTH(B78)=11)*0.15,
    (MONTH(B78)=3)*0.1,
    (OR(C78="Т-003",C78="Т-009",C78="Т-018"))*0.12,
    (F78&gt;=3)*0.08,
    (VLOOKUP(C78,ТаблицаТовары[[ID товара]:[Категория]],3,FALSE)="Одежда")*0.1,
    0
)</f>
        <v>0.1</v>
      </c>
      <c r="I78" s="19">
        <f t="shared" si="2"/>
        <v>23382</v>
      </c>
      <c r="J78" s="19">
        <f>F78*((G78*(1-H78)) - _xlfn.XLOOKUP(C78,ТаблицаТовары[ID товара],ТаблицаТовары[Себестоимость],0))</f>
        <v>8382</v>
      </c>
      <c r="K78" s="27">
        <f t="shared" si="3"/>
        <v>0.35848088273030537</v>
      </c>
    </row>
    <row r="79" spans="1:11" x14ac:dyDescent="0.25">
      <c r="A79" s="22" t="s">
        <v>144</v>
      </c>
      <c r="B79" s="15">
        <v>45450</v>
      </c>
      <c r="C79" s="22" t="s">
        <v>32</v>
      </c>
      <c r="D79" s="31" t="str">
        <f>_xlfn.XLOOKUP(C79, ТаблицаТовары[ID товара], ТаблицаТовары[Название])</f>
        <v>Рюкзак туристический</v>
      </c>
      <c r="E79" s="17" t="str">
        <f>_xlfn.XLOOKUP(C79,ТаблицаТовары[ID товара],ТаблицаТовары[Категория])</f>
        <v>Аксессуары</v>
      </c>
      <c r="F79" s="29">
        <v>2</v>
      </c>
      <c r="G79" s="19">
        <f>_xlfn.XLOOKUP(C79, ТаблицаТовары[ID товара], ТаблицаТовары[Цена], "Цена не найдена")</f>
        <v>3490</v>
      </c>
      <c r="H79" s="25">
        <f>MAX(
    (MONTH(B79)=11)*0.15,
    (MONTH(B79)=3)*0.1,
    (OR(C79="Т-003",C79="Т-009",C79="Т-018"))*0.12,
    (F79&gt;=3)*0.08,
    (VLOOKUP(C79,ТаблицаТовары[[ID товара]:[Категория]],3,FALSE)="Одежда")*0.1,
    0
)</f>
        <v>0</v>
      </c>
      <c r="I79" s="19">
        <f t="shared" si="2"/>
        <v>6980</v>
      </c>
      <c r="J79" s="19">
        <f>F79*((G79*(1-H79)) - _xlfn.XLOOKUP(C79,ТаблицаТовары[ID товара],ТаблицаТовары[Себестоимость],0))</f>
        <v>3380</v>
      </c>
      <c r="K79" s="27">
        <f t="shared" si="3"/>
        <v>0.48424068767908307</v>
      </c>
    </row>
    <row r="80" spans="1:11" x14ac:dyDescent="0.25">
      <c r="A80" s="22" t="s">
        <v>145</v>
      </c>
      <c r="B80" s="15">
        <v>45311</v>
      </c>
      <c r="C80" s="22" t="s">
        <v>46</v>
      </c>
      <c r="D80" s="31" t="str">
        <f>_xlfn.XLOOKUP(C80, ТаблицаТовары[ID товара], ТаблицаТовары[Название])</f>
        <v>Сумка кожаная женская</v>
      </c>
      <c r="E80" s="17" t="str">
        <f>_xlfn.XLOOKUP(C80,ТаблицаТовары[ID товара],ТаблицаТовары[Категория])</f>
        <v>Аксессуары</v>
      </c>
      <c r="F80" s="29">
        <v>3</v>
      </c>
      <c r="G80" s="19">
        <f>_xlfn.XLOOKUP(C80, ТаблицаТовары[ID товара], ТаблицаТовары[Цена], "Цена не найдена")</f>
        <v>7590</v>
      </c>
      <c r="H80" s="25">
        <f>MAX(
    (MONTH(B80)=11)*0.15,
    (MONTH(B80)=3)*0.1,
    (OR(C80="Т-003",C80="Т-009",C80="Т-018"))*0.12,
    (F80&gt;=3)*0.08,
    (VLOOKUP(C80,ТаблицаТовары[[ID товара]:[Категория]],3,FALSE)="Одежда")*0.1,
    0
)</f>
        <v>0.12</v>
      </c>
      <c r="I80" s="19">
        <f t="shared" si="2"/>
        <v>20037.599999999999</v>
      </c>
      <c r="J80" s="19">
        <f>F80*((G80*(1-H80)) - _xlfn.XLOOKUP(C80,ТаблицаТовары[ID товара],ТаблицаТовары[Себестоимость],0))</f>
        <v>7437.5999999999995</v>
      </c>
      <c r="K80" s="27">
        <f t="shared" si="3"/>
        <v>0.37118217750628818</v>
      </c>
    </row>
    <row r="81" spans="1:12" x14ac:dyDescent="0.25">
      <c r="A81" s="22" t="s">
        <v>146</v>
      </c>
      <c r="B81" s="15">
        <v>45520</v>
      </c>
      <c r="C81" s="22" t="s">
        <v>32</v>
      </c>
      <c r="D81" s="31" t="str">
        <f>_xlfn.XLOOKUP(C81, ТаблицаТовары[ID товара], ТаблицаТовары[Название])</f>
        <v>Рюкзак туристический</v>
      </c>
      <c r="E81" s="17" t="str">
        <f>_xlfn.XLOOKUP(C81,ТаблицаТовары[ID товара],ТаблицаТовары[Категория])</f>
        <v>Аксессуары</v>
      </c>
      <c r="F81" s="29">
        <v>1</v>
      </c>
      <c r="G81" s="19">
        <f>_xlfn.XLOOKUP(C81, ТаблицаТовары[ID товара], ТаблицаТовары[Цена], "Цена не найдена")</f>
        <v>3490</v>
      </c>
      <c r="H81" s="25">
        <f>MAX(
    (MONTH(B81)=11)*0.15,
    (MONTH(B81)=3)*0.1,
    (OR(C81="Т-003",C81="Т-009",C81="Т-018"))*0.12,
    (F81&gt;=3)*0.08,
    (VLOOKUP(C81,ТаблицаТовары[[ID товара]:[Категория]],3,FALSE)="Одежда")*0.1,
    0
)</f>
        <v>0</v>
      </c>
      <c r="I81" s="19">
        <f t="shared" si="2"/>
        <v>3490</v>
      </c>
      <c r="J81" s="19">
        <f>F81*((G81*(1-H81)) - _xlfn.XLOOKUP(C81,ТаблицаТовары[ID товара],ТаблицаТовары[Себестоимость],0))</f>
        <v>1690</v>
      </c>
      <c r="K81" s="27">
        <f t="shared" si="3"/>
        <v>0.48424068767908307</v>
      </c>
    </row>
    <row r="82" spans="1:12" x14ac:dyDescent="0.25">
      <c r="A82" s="22" t="s">
        <v>147</v>
      </c>
      <c r="B82" s="15">
        <v>45331</v>
      </c>
      <c r="C82" s="22" t="s">
        <v>24</v>
      </c>
      <c r="D82" s="31" t="str">
        <f>_xlfn.XLOOKUP(C82, ТаблицаТовары[ID товара], ТаблицаТовары[Название])</f>
        <v>Чайник стеклянный</v>
      </c>
      <c r="E82" s="17" t="str">
        <f>_xlfn.XLOOKUP(C82,ТаблицаТовары[ID товара],ТаблицаТовары[Категория])</f>
        <v>Для дома</v>
      </c>
      <c r="F82" s="29">
        <v>1</v>
      </c>
      <c r="G82" s="19">
        <f>_xlfn.XLOOKUP(C82, ТаблицаТовары[ID товара], ТаблицаТовары[Цена], "Цена не найдена")</f>
        <v>2490</v>
      </c>
      <c r="H82" s="25">
        <f>MAX(
    (MONTH(B82)=11)*0.15,
    (MONTH(B82)=3)*0.1,
    (OR(C82="Т-003",C82="Т-009",C82="Т-018"))*0.12,
    (F82&gt;=3)*0.08,
    (VLOOKUP(C82,ТаблицаТовары[[ID товара]:[Категория]],3,FALSE)="Одежда")*0.1,
    0
)</f>
        <v>0</v>
      </c>
      <c r="I82" s="19">
        <f t="shared" si="2"/>
        <v>2490</v>
      </c>
      <c r="J82" s="19">
        <f>F82*((G82*(1-H82)) - _xlfn.XLOOKUP(C82,ТаблицаТовары[ID товара],ТаблицаТовары[Себестоимость],0))</f>
        <v>1290</v>
      </c>
      <c r="K82" s="27">
        <f t="shared" si="3"/>
        <v>0.51807228915662651</v>
      </c>
    </row>
    <row r="83" spans="1:12" x14ac:dyDescent="0.25">
      <c r="A83" s="22" t="s">
        <v>148</v>
      </c>
      <c r="B83" s="15">
        <v>45366</v>
      </c>
      <c r="C83" s="22" t="s">
        <v>28</v>
      </c>
      <c r="D83" s="31" t="str">
        <f>_xlfn.XLOOKUP(C83, ТаблицаТовары[ID товара], ТаблицаТовары[Название])</f>
        <v>Монитор 24" Samsung</v>
      </c>
      <c r="E83" s="17" t="str">
        <f>_xlfn.XLOOKUP(C83,ТаблицаТовары[ID товара],ТаблицаТовары[Категория])</f>
        <v>Электроника</v>
      </c>
      <c r="F83" s="29">
        <v>2</v>
      </c>
      <c r="G83" s="19">
        <f>_xlfn.XLOOKUP(C83, ТаблицаТовары[ID товара], ТаблицаТовары[Цена], "Цена не найдена")</f>
        <v>18990</v>
      </c>
      <c r="H83" s="25">
        <f>MAX(
    (MONTH(B83)=11)*0.15,
    (MONTH(B83)=3)*0.1,
    (OR(C83="Т-003",C83="Т-009",C83="Т-018"))*0.12,
    (F83&gt;=3)*0.08,
    (VLOOKUP(C83,ТаблицаТовары[[ID товара]:[Категория]],3,FALSE)="Одежда")*0.1,
    0
)</f>
        <v>0.1</v>
      </c>
      <c r="I83" s="19">
        <f t="shared" si="2"/>
        <v>34182</v>
      </c>
      <c r="J83" s="19">
        <f>F83*((G83*(1-H83)) - _xlfn.XLOOKUP(C83,ТаблицаТовары[ID товара],ТаблицаТовары[Себестоимость],0))</f>
        <v>7782</v>
      </c>
      <c r="K83" s="27">
        <f t="shared" si="3"/>
        <v>0.22766368263998596</v>
      </c>
    </row>
    <row r="84" spans="1:12" x14ac:dyDescent="0.25">
      <c r="A84" s="22" t="s">
        <v>149</v>
      </c>
      <c r="B84" s="15">
        <v>45302</v>
      </c>
      <c r="C84" s="22" t="s">
        <v>13</v>
      </c>
      <c r="D84" s="31" t="str">
        <f>_xlfn.XLOOKUP(C84, ТаблицаТовары[ID товара], ТаблицаТовары[Название])</f>
        <v>Куртка зимняя North Face</v>
      </c>
      <c r="E84" s="17" t="str">
        <f>_xlfn.XLOOKUP(C84,ТаблицаТовары[ID товара],ТаблицаТовары[Категория])</f>
        <v>Одежда</v>
      </c>
      <c r="F84" s="29">
        <v>2</v>
      </c>
      <c r="G84" s="19">
        <f>_xlfn.XLOOKUP(C84, ТаблицаТовары[ID товара], ТаблицаТовары[Цена], "Цена не найдена")</f>
        <v>12990</v>
      </c>
      <c r="H84" s="25">
        <f>MAX(
    (MONTH(B84)=11)*0.15,
    (MONTH(B84)=3)*0.1,
    (OR(C84="Т-003",C84="Т-009",C84="Т-018"))*0.12,
    (F84&gt;=3)*0.08,
    (VLOOKUP(C84,ТаблицаТовары[[ID товара]:[Категория]],3,FALSE)="Одежда")*0.1,
    0
)</f>
        <v>0.1</v>
      </c>
      <c r="I84" s="19">
        <f t="shared" si="2"/>
        <v>23382</v>
      </c>
      <c r="J84" s="19">
        <f>F84*((G84*(1-H84)) - _xlfn.XLOOKUP(C84,ТаблицаТовары[ID товара],ТаблицаТовары[Себестоимость],0))</f>
        <v>8382</v>
      </c>
      <c r="K84" s="27">
        <f t="shared" si="3"/>
        <v>0.35848088273030537</v>
      </c>
    </row>
    <row r="85" spans="1:12" x14ac:dyDescent="0.25">
      <c r="A85" s="22" t="s">
        <v>150</v>
      </c>
      <c r="B85" s="15">
        <v>45527</v>
      </c>
      <c r="C85" s="22" t="s">
        <v>8</v>
      </c>
      <c r="D85" s="31" t="str">
        <f>_xlfn.XLOOKUP(C85, ТаблицаТовары[ID товара], ТаблицаТовары[Название])</f>
        <v>Наушники Sony WH-1000XM5</v>
      </c>
      <c r="E85" s="17" t="str">
        <f>_xlfn.XLOOKUP(C85,ТаблицаТовары[ID товара],ТаблицаТовары[Категория])</f>
        <v>Электроника</v>
      </c>
      <c r="F85" s="29">
        <v>1</v>
      </c>
      <c r="G85" s="19">
        <f>_xlfn.XLOOKUP(C85, ТаблицаТовары[ID товара], ТаблицаТовары[Цена], "Цена не найдена")</f>
        <v>26990</v>
      </c>
      <c r="H85" s="25">
        <f>MAX(
    (MONTH(B85)=11)*0.15,
    (MONTH(B85)=3)*0.1,
    (OR(C85="Т-003",C85="Т-009",C85="Т-018"))*0.12,
    (F85&gt;=3)*0.08,
    (VLOOKUP(C85,ТаблицаТовары[[ID товара]:[Категория]],3,FALSE)="Одежда")*0.1,
    0
)</f>
        <v>0</v>
      </c>
      <c r="I85" s="19">
        <f t="shared" si="2"/>
        <v>26990</v>
      </c>
      <c r="J85" s="19">
        <f>F85*((G85*(1-H85)) - _xlfn.XLOOKUP(C85,ТаблицаТовары[ID товара],ТаблицаТовары[Себестоимость],0))</f>
        <v>8090</v>
      </c>
      <c r="K85" s="27">
        <f t="shared" si="3"/>
        <v>0.29974064468321598</v>
      </c>
      <c r="L85" s="10"/>
    </row>
    <row r="86" spans="1:12" x14ac:dyDescent="0.25">
      <c r="A86" s="22" t="s">
        <v>151</v>
      </c>
      <c r="B86" s="15">
        <v>45598</v>
      </c>
      <c r="C86" s="22" t="s">
        <v>10</v>
      </c>
      <c r="D86" s="31" t="str">
        <f>_xlfn.XLOOKUP(C86, ТаблицаТовары[ID товара], ТаблицаТовары[Название])</f>
        <v>Книга "Мастерство продаж"</v>
      </c>
      <c r="E86" s="17" t="str">
        <f>_xlfn.XLOOKUP(C86,ТаблицаТовары[ID товара],ТаблицаТовары[Категория])</f>
        <v>Книги</v>
      </c>
      <c r="F86" s="29">
        <v>1</v>
      </c>
      <c r="G86" s="19">
        <f>_xlfn.XLOOKUP(C86, ТаблицаТовары[ID товара], ТаблицаТовары[Цена], "Цена не найдена")</f>
        <v>890</v>
      </c>
      <c r="H86" s="25">
        <f>MAX(
    (MONTH(B86)=11)*0.15,
    (MONTH(B86)=3)*0.1,
    (OR(C86="Т-003",C86="Т-009",C86="Т-018"))*0.12,
    (F86&gt;=3)*0.08,
    (VLOOKUP(C86,ТаблицаТовары[[ID товара]:[Категория]],3,FALSE)="Одежда")*0.1,
    0
)</f>
        <v>0.15</v>
      </c>
      <c r="I86" s="19">
        <f t="shared" si="2"/>
        <v>756.5</v>
      </c>
      <c r="J86" s="19">
        <f>F86*((G86*(1-H86)) - _xlfn.XLOOKUP(C86,ТаблицаТовары[ID товара],ТаблицаТовары[Себестоимость],0))</f>
        <v>306.5</v>
      </c>
      <c r="K86" s="27">
        <f t="shared" si="3"/>
        <v>0.40515532055518838</v>
      </c>
    </row>
    <row r="87" spans="1:12" x14ac:dyDescent="0.25">
      <c r="A87" s="22" t="s">
        <v>152</v>
      </c>
      <c r="B87" s="15">
        <v>45630</v>
      </c>
      <c r="C87" s="22" t="s">
        <v>43</v>
      </c>
      <c r="D87" s="31" t="str">
        <f>_xlfn.XLOOKUP(C87, ТаблицаТовары[ID товара], ТаблицаТовары[Название])</f>
        <v>Беговая дорожка</v>
      </c>
      <c r="E87" s="17" t="str">
        <f>_xlfn.XLOOKUP(C87,ТаблицаТовары[ID товара],ТаблицаТовары[Категория])</f>
        <v>Спорт</v>
      </c>
      <c r="F87" s="29">
        <v>1</v>
      </c>
      <c r="G87" s="19">
        <f>_xlfn.XLOOKUP(C87, ТаблицаТовары[ID товара], ТаблицаТовары[Цена], "Цена не найдена")</f>
        <v>79990</v>
      </c>
      <c r="H87" s="25">
        <f>MAX(
    (MONTH(B87)=11)*0.15,
    (MONTH(B87)=3)*0.1,
    (OR(C87="Т-003",C87="Т-009",C87="Т-018"))*0.12,
    (F87&gt;=3)*0.08,
    (VLOOKUP(C87,ТаблицаТовары[[ID товара]:[Категория]],3,FALSE)="Одежда")*0.1,
    0
)</f>
        <v>0</v>
      </c>
      <c r="I87" s="19">
        <f t="shared" si="2"/>
        <v>79990</v>
      </c>
      <c r="J87" s="19">
        <f>F87*((G87*(1-H87)) - _xlfn.XLOOKUP(C87,ТаблицаТовары[ID товара],ТаблицаТовары[Себестоимость],0))</f>
        <v>21090</v>
      </c>
      <c r="K87" s="27">
        <f t="shared" si="3"/>
        <v>0.26365795724465557</v>
      </c>
    </row>
    <row r="88" spans="1:12" x14ac:dyDescent="0.25">
      <c r="A88" s="22" t="s">
        <v>153</v>
      </c>
      <c r="B88" s="15">
        <v>45467</v>
      </c>
      <c r="C88" s="22" t="s">
        <v>5</v>
      </c>
      <c r="D88" s="31" t="str">
        <f>_xlfn.XLOOKUP(C88, ТаблицаТовары[ID товара], ТаблицаТовары[Название])</f>
        <v>Смартфон Galaxy A54</v>
      </c>
      <c r="E88" s="17" t="str">
        <f>_xlfn.XLOOKUP(C88,ТаблицаТовары[ID товара],ТаблицаТовары[Категория])</f>
        <v>Электроника</v>
      </c>
      <c r="F88" s="29">
        <v>1</v>
      </c>
      <c r="G88" s="19">
        <f>_xlfn.XLOOKUP(C88, ТаблицаТовары[ID товара], ТаблицаТовары[Цена], "Цена не найдена")</f>
        <v>29990</v>
      </c>
      <c r="H88" s="25">
        <f>MAX(
    (MONTH(B88)=11)*0.15,
    (MONTH(B88)=3)*0.1,
    (OR(C88="Т-003",C88="Т-009",C88="Т-018"))*0.12,
    (F88&gt;=3)*0.08,
    (VLOOKUP(C88,ТаблицаТовары[[ID товара]:[Категория]],3,FALSE)="Одежда")*0.1,
    0
)</f>
        <v>0</v>
      </c>
      <c r="I88" s="19">
        <f t="shared" si="2"/>
        <v>29990</v>
      </c>
      <c r="J88" s="19">
        <f>F88*((G88*(1-H88)) - _xlfn.XLOOKUP(C88,ТаблицаТовары[ID товара],ТаблицаТовары[Себестоимость],0))</f>
        <v>8490</v>
      </c>
      <c r="K88" s="27">
        <f t="shared" si="3"/>
        <v>0.28309436478826278</v>
      </c>
    </row>
    <row r="89" spans="1:12" x14ac:dyDescent="0.25">
      <c r="A89" s="22" t="s">
        <v>154</v>
      </c>
      <c r="B89" s="15">
        <v>45590</v>
      </c>
      <c r="C89" s="22" t="s">
        <v>28</v>
      </c>
      <c r="D89" s="31" t="str">
        <f>_xlfn.XLOOKUP(C89, ТаблицаТовары[ID товара], ТаблицаТовары[Название])</f>
        <v>Монитор 24" Samsung</v>
      </c>
      <c r="E89" s="17" t="str">
        <f>_xlfn.XLOOKUP(C89,ТаблицаТовары[ID товара],ТаблицаТовары[Категория])</f>
        <v>Электроника</v>
      </c>
      <c r="F89" s="29">
        <v>2</v>
      </c>
      <c r="G89" s="19">
        <f>_xlfn.XLOOKUP(C89, ТаблицаТовары[ID товара], ТаблицаТовары[Цена], "Цена не найдена")</f>
        <v>18990</v>
      </c>
      <c r="H89" s="25">
        <f>MAX(
    (MONTH(B89)=11)*0.15,
    (MONTH(B89)=3)*0.1,
    (OR(C89="Т-003",C89="Т-009",C89="Т-018"))*0.12,
    (F89&gt;=3)*0.08,
    (VLOOKUP(C89,ТаблицаТовары[[ID товара]:[Категория]],3,FALSE)="Одежда")*0.1,
    0
)</f>
        <v>0</v>
      </c>
      <c r="I89" s="19">
        <f t="shared" si="2"/>
        <v>37980</v>
      </c>
      <c r="J89" s="19">
        <f>F89*((G89*(1-H89)) - _xlfn.XLOOKUP(C89,ТаблицаТовары[ID товара],ТаблицаТовары[Себестоимость],0))</f>
        <v>11580</v>
      </c>
      <c r="K89" s="27">
        <f t="shared" si="3"/>
        <v>0.30489731437598738</v>
      </c>
    </row>
    <row r="90" spans="1:12" x14ac:dyDescent="0.25">
      <c r="A90" s="22" t="s">
        <v>155</v>
      </c>
      <c r="B90" s="15">
        <v>45363</v>
      </c>
      <c r="C90" s="22" t="s">
        <v>46</v>
      </c>
      <c r="D90" s="31" t="str">
        <f>_xlfn.XLOOKUP(C90, ТаблицаТовары[ID товара], ТаблицаТовары[Название])</f>
        <v>Сумка кожаная женская</v>
      </c>
      <c r="E90" s="17" t="str">
        <f>_xlfn.XLOOKUP(C90,ТаблицаТовары[ID товара],ТаблицаТовары[Категория])</f>
        <v>Аксессуары</v>
      </c>
      <c r="F90" s="29">
        <v>2</v>
      </c>
      <c r="G90" s="19">
        <f>_xlfn.XLOOKUP(C90, ТаблицаТовары[ID товара], ТаблицаТовары[Цена], "Цена не найдена")</f>
        <v>7590</v>
      </c>
      <c r="H90" s="25">
        <f>MAX(
    (MONTH(B90)=11)*0.15,
    (MONTH(B90)=3)*0.1,
    (OR(C90="Т-003",C90="Т-009",C90="Т-018"))*0.12,
    (F90&gt;=3)*0.08,
    (VLOOKUP(C90,ТаблицаТовары[[ID товара]:[Категория]],3,FALSE)="Одежда")*0.1,
    0
)</f>
        <v>0.12</v>
      </c>
      <c r="I90" s="19">
        <f t="shared" si="2"/>
        <v>13358.4</v>
      </c>
      <c r="J90" s="19">
        <f>F90*((G90*(1-H90)) - _xlfn.XLOOKUP(C90,ТаблицаТовары[ID товара],ТаблицаТовары[Себестоимость],0))</f>
        <v>4958.3999999999996</v>
      </c>
      <c r="K90" s="27">
        <f t="shared" si="3"/>
        <v>0.37118217750628818</v>
      </c>
    </row>
    <row r="91" spans="1:12" x14ac:dyDescent="0.25">
      <c r="A91" s="22" t="s">
        <v>156</v>
      </c>
      <c r="B91" s="15">
        <v>45497</v>
      </c>
      <c r="C91" s="22" t="s">
        <v>41</v>
      </c>
      <c r="D91" s="31" t="str">
        <f>_xlfn.XLOOKUP(C91, ТаблицаТовары[ID товара], ТаблицаТовары[Название])</f>
        <v>Планшет iPad 10.2"</v>
      </c>
      <c r="E91" s="17" t="str">
        <f>_xlfn.XLOOKUP(C91,ТаблицаТовары[ID товара],ТаблицаТовары[Категория])</f>
        <v>Электроника</v>
      </c>
      <c r="F91" s="29">
        <v>1</v>
      </c>
      <c r="G91" s="19">
        <f>_xlfn.XLOOKUP(C91, ТаблицаТовары[ID товара], ТаблицаТовары[Цена], "Цена не найдена")</f>
        <v>44990</v>
      </c>
      <c r="H91" s="25">
        <f>MAX(
    (MONTH(B91)=11)*0.15,
    (MONTH(B91)=3)*0.1,
    (OR(C91="Т-003",C91="Т-009",C91="Т-018"))*0.12,
    (F91&gt;=3)*0.08,
    (VLOOKUP(C91,ТаблицаТовары[[ID товара]:[Категория]],3,FALSE)="Одежда")*0.1,
    0
)</f>
        <v>0</v>
      </c>
      <c r="I91" s="19">
        <f t="shared" si="2"/>
        <v>44990</v>
      </c>
      <c r="J91" s="19">
        <f>F91*((G91*(1-H91)) - _xlfn.XLOOKUP(C91,ТаблицаТовары[ID товара],ТаблицаТовары[Себестоимость],0))</f>
        <v>12490</v>
      </c>
      <c r="K91" s="27">
        <f t="shared" si="3"/>
        <v>0.27761724827739498</v>
      </c>
    </row>
    <row r="92" spans="1:12" x14ac:dyDescent="0.25">
      <c r="A92" s="22" t="s">
        <v>157</v>
      </c>
      <c r="B92" s="15">
        <v>45497</v>
      </c>
      <c r="C92" s="22" t="s">
        <v>50</v>
      </c>
      <c r="D92" s="31" t="str">
        <f>_xlfn.XLOOKUP(C92, ТаблицаТовары[ID товара], ТаблицаТовары[Название])</f>
        <v>Йогуртница</v>
      </c>
      <c r="E92" s="17" t="str">
        <f>_xlfn.XLOOKUP(C92,ТаблицаТовары[ID товара],ТаблицаТовары[Категория])</f>
        <v>Для дома</v>
      </c>
      <c r="F92" s="29">
        <v>1</v>
      </c>
      <c r="G92" s="19">
        <f>_xlfn.XLOOKUP(C92, ТаблицаТовары[ID товара], ТаблицаТовары[Цена], "Цена не найдена")</f>
        <v>4990</v>
      </c>
      <c r="H92" s="25">
        <f>MAX(
    (MONTH(B92)=11)*0.15,
    (MONTH(B92)=3)*0.1,
    (OR(C92="Т-003",C92="Т-009",C92="Т-018"))*0.12,
    (F92&gt;=3)*0.08,
    (VLOOKUP(C92,ТаблицаТовары[[ID товара]:[Категория]],3,FALSE)="Одежда")*0.1,
    0
)</f>
        <v>0</v>
      </c>
      <c r="I92" s="19">
        <f t="shared" si="2"/>
        <v>4990</v>
      </c>
      <c r="J92" s="19">
        <f>F92*((G92*(1-H92)) - _xlfn.XLOOKUP(C92,ТаблицаТовары[ID товара],ТаблицаТовары[Себестоимость],0))</f>
        <v>1790</v>
      </c>
      <c r="K92" s="27">
        <f t="shared" si="3"/>
        <v>0.3587174348697395</v>
      </c>
    </row>
    <row r="93" spans="1:12" x14ac:dyDescent="0.25">
      <c r="A93" s="22" t="s">
        <v>158</v>
      </c>
      <c r="B93" s="15">
        <v>45655</v>
      </c>
      <c r="C93" s="22" t="s">
        <v>26</v>
      </c>
      <c r="D93" s="31" t="str">
        <f>_xlfn.XLOOKUP(C93, ТаблицаТовары[ID товара], ТаблицаТовары[Название])</f>
        <v>Футболка хлопковая</v>
      </c>
      <c r="E93" s="17" t="str">
        <f>_xlfn.XLOOKUP(C93,ТаблицаТовары[ID товара],ТаблицаТовары[Категория])</f>
        <v>Одежда</v>
      </c>
      <c r="F93" s="29">
        <v>2</v>
      </c>
      <c r="G93" s="19">
        <f>_xlfn.XLOOKUP(C93, ТаблицаТовары[ID товара], ТаблицаТовары[Цена], "Цена не найдена")</f>
        <v>990</v>
      </c>
      <c r="H93" s="25">
        <f>MAX(
    (MONTH(B93)=11)*0.15,
    (MONTH(B93)=3)*0.1,
    (OR(C93="Т-003",C93="Т-009",C93="Т-018"))*0.12,
    (F93&gt;=3)*0.08,
    (VLOOKUP(C93,ТаблицаТовары[[ID товара]:[Категория]],3,FALSE)="Одежда")*0.1,
    0
)</f>
        <v>0.12</v>
      </c>
      <c r="I93" s="19">
        <f t="shared" si="2"/>
        <v>1742.4</v>
      </c>
      <c r="J93" s="19">
        <f>F93*((G93*(1-H93)) - _xlfn.XLOOKUP(C93,ТаблицаТовары[ID товара],ТаблицаТовары[Себестоимость],0))</f>
        <v>1042.4000000000001</v>
      </c>
      <c r="K93" s="27">
        <f t="shared" si="3"/>
        <v>0.59825528007346196</v>
      </c>
    </row>
    <row r="94" spans="1:12" x14ac:dyDescent="0.25">
      <c r="A94" s="22" t="s">
        <v>159</v>
      </c>
      <c r="B94" s="15">
        <v>45631</v>
      </c>
      <c r="C94" s="22" t="s">
        <v>32</v>
      </c>
      <c r="D94" s="31" t="str">
        <f>_xlfn.XLOOKUP(C94, ТаблицаТовары[ID товара], ТаблицаТовары[Название])</f>
        <v>Рюкзак туристический</v>
      </c>
      <c r="E94" s="17" t="str">
        <f>_xlfn.XLOOKUP(C94,ТаблицаТовары[ID товара],ТаблицаТовары[Категория])</f>
        <v>Аксессуары</v>
      </c>
      <c r="F94" s="29">
        <v>3</v>
      </c>
      <c r="G94" s="19">
        <f>_xlfn.XLOOKUP(C94, ТаблицаТовары[ID товара], ТаблицаТовары[Цена], "Цена не найдена")</f>
        <v>3490</v>
      </c>
      <c r="H94" s="25">
        <f>MAX(
    (MONTH(B94)=11)*0.15,
    (MONTH(B94)=3)*0.1,
    (OR(C94="Т-003",C94="Т-009",C94="Т-018"))*0.12,
    (F94&gt;=3)*0.08,
    (VLOOKUP(C94,ТаблицаТовары[[ID товара]:[Категория]],3,FALSE)="Одежда")*0.1,
    0
)</f>
        <v>0.08</v>
      </c>
      <c r="I94" s="19">
        <f t="shared" si="2"/>
        <v>9632.4</v>
      </c>
      <c r="J94" s="19">
        <f>F94*((G94*(1-H94)) - _xlfn.XLOOKUP(C94,ТаблицаТовары[ID товара],ТаблицаТовары[Себестоимость],0))</f>
        <v>4232.4000000000005</v>
      </c>
      <c r="K94" s="27">
        <f t="shared" si="3"/>
        <v>0.43939205182509039</v>
      </c>
    </row>
    <row r="95" spans="1:12" x14ac:dyDescent="0.25">
      <c r="A95" s="22" t="s">
        <v>160</v>
      </c>
      <c r="B95" s="15">
        <v>45641</v>
      </c>
      <c r="C95" s="22" t="s">
        <v>30</v>
      </c>
      <c r="D95" s="31" t="str">
        <f>_xlfn.XLOOKUP(C95, ТаблицаТовары[ID товара], ТаблицаТовары[Название])</f>
        <v>Кресло офисное</v>
      </c>
      <c r="E95" s="17" t="str">
        <f>_xlfn.XLOOKUP(C95,ТаблицаТовары[ID товара],ТаблицаТовары[Категория])</f>
        <v>Для дома</v>
      </c>
      <c r="F95" s="29">
        <v>2</v>
      </c>
      <c r="G95" s="19">
        <f>_xlfn.XLOOKUP(C95, ТаблицаТовары[ID товара], ТаблицаТовары[Цена], "Цена не найдена")</f>
        <v>21990</v>
      </c>
      <c r="H95" s="25">
        <f>MAX(
    (MONTH(B95)=11)*0.15,
    (MONTH(B95)=3)*0.1,
    (OR(C95="Т-003",C95="Т-009",C95="Т-018"))*0.12,
    (F95&gt;=3)*0.08,
    (VLOOKUP(C95,ТаблицаТовары[[ID товара]:[Категория]],3,FALSE)="Одежда")*0.1,
    0
)</f>
        <v>0</v>
      </c>
      <c r="I95" s="19">
        <f t="shared" si="2"/>
        <v>43980</v>
      </c>
      <c r="J95" s="19">
        <f>F95*((G95*(1-H95)) - _xlfn.XLOOKUP(C95,ТаблицаТовары[ID товара],ТаблицаТовары[Себестоимость],0))</f>
        <v>14980</v>
      </c>
      <c r="K95" s="27">
        <f t="shared" si="3"/>
        <v>0.34060936789449747</v>
      </c>
    </row>
    <row r="96" spans="1:12" x14ac:dyDescent="0.25">
      <c r="A96" s="22" t="s">
        <v>161</v>
      </c>
      <c r="B96" s="15">
        <v>45528</v>
      </c>
      <c r="C96" s="22" t="s">
        <v>24</v>
      </c>
      <c r="D96" s="31" t="str">
        <f>_xlfn.XLOOKUP(C96, ТаблицаТовары[ID товара], ТаблицаТовары[Название])</f>
        <v>Чайник стеклянный</v>
      </c>
      <c r="E96" s="17" t="str">
        <f>_xlfn.XLOOKUP(C96,ТаблицаТовары[ID товара],ТаблицаТовары[Категория])</f>
        <v>Для дома</v>
      </c>
      <c r="F96" s="29">
        <v>1</v>
      </c>
      <c r="G96" s="19">
        <f>_xlfn.XLOOKUP(C96, ТаблицаТовары[ID товара], ТаблицаТовары[Цена], "Цена не найдена")</f>
        <v>2490</v>
      </c>
      <c r="H96" s="25">
        <f>MAX(
    (MONTH(B96)=11)*0.15,
    (MONTH(B96)=3)*0.1,
    (OR(C96="Т-003",C96="Т-009",C96="Т-018"))*0.12,
    (F96&gt;=3)*0.08,
    (VLOOKUP(C96,ТаблицаТовары[[ID товара]:[Категория]],3,FALSE)="Одежда")*0.1,
    0
)</f>
        <v>0</v>
      </c>
      <c r="I96" s="19">
        <f t="shared" si="2"/>
        <v>2490</v>
      </c>
      <c r="J96" s="19">
        <f>F96*((G96*(1-H96)) - _xlfn.XLOOKUP(C96,ТаблицаТовары[ID товара],ТаблицаТовары[Себестоимость],0))</f>
        <v>1290</v>
      </c>
      <c r="K96" s="27">
        <f t="shared" si="3"/>
        <v>0.51807228915662651</v>
      </c>
    </row>
    <row r="97" spans="1:11" x14ac:dyDescent="0.25">
      <c r="A97" s="22" t="s">
        <v>162</v>
      </c>
      <c r="B97" s="15">
        <v>45390</v>
      </c>
      <c r="C97" s="22" t="s">
        <v>39</v>
      </c>
      <c r="D97" s="31" t="str">
        <f>_xlfn.XLOOKUP(C97, ТаблицаТовары[ID товара], ТаблицаТовары[Название])</f>
        <v>Джинсы Levi's 501</v>
      </c>
      <c r="E97" s="17" t="str">
        <f>_xlfn.XLOOKUP(C97,ТаблицаТовары[ID товара],ТаблицаТовары[Категория])</f>
        <v>Одежда</v>
      </c>
      <c r="F97" s="29">
        <v>3</v>
      </c>
      <c r="G97" s="19">
        <f>_xlfn.XLOOKUP(C97, ТаблицаТовары[ID товара], ТаблицаТовары[Цена], "Цена не найдена")</f>
        <v>5990</v>
      </c>
      <c r="H97" s="25">
        <f>MAX(
    (MONTH(B97)=11)*0.15,
    (MONTH(B97)=3)*0.1,
    (OR(C97="Т-003",C97="Т-009",C97="Т-018"))*0.12,
    (F97&gt;=3)*0.08,
    (VLOOKUP(C97,ТаблицаТовары[[ID товара]:[Категория]],3,FALSE)="Одежда")*0.1,
    0
)</f>
        <v>0.1</v>
      </c>
      <c r="I97" s="19">
        <f t="shared" si="2"/>
        <v>16173</v>
      </c>
      <c r="J97" s="19">
        <f>F97*((G97*(1-H97)) - _xlfn.XLOOKUP(C97,ТаблицаТовары[ID товара],ТаблицаТовары[Себестоимость],0))</f>
        <v>7473</v>
      </c>
      <c r="K97" s="27">
        <f t="shared" si="3"/>
        <v>0.46206640697458728</v>
      </c>
    </row>
    <row r="98" spans="1:11" x14ac:dyDescent="0.25">
      <c r="A98" s="22" t="s">
        <v>163</v>
      </c>
      <c r="B98" s="15">
        <v>45512</v>
      </c>
      <c r="C98" s="22" t="s">
        <v>37</v>
      </c>
      <c r="D98" s="31" t="str">
        <f>_xlfn.XLOOKUP(C98, ТаблицаТовары[ID товара], ТаблицаТовары[Название])</f>
        <v>Набор посуды 12 предметов</v>
      </c>
      <c r="E98" s="17" t="str">
        <f>_xlfn.XLOOKUP(C98,ТаблицаТовары[ID товара],ТаблицаТовары[Категория])</f>
        <v>Для дома</v>
      </c>
      <c r="F98" s="29">
        <v>2</v>
      </c>
      <c r="G98" s="19">
        <f>_xlfn.XLOOKUP(C98, ТаблицаТовары[ID товара], ТаблицаТовары[Цена], "Цена не найдена")</f>
        <v>14990</v>
      </c>
      <c r="H98" s="25">
        <f>MAX(
    (MONTH(B98)=11)*0.15,
    (MONTH(B98)=3)*0.1,
    (OR(C98="Т-003",C98="Т-009",C98="Т-018"))*0.12,
    (F98&gt;=3)*0.08,
    (VLOOKUP(C98,ТаблицаТовары[[ID товара]:[Категория]],3,FALSE)="Одежда")*0.1,
    0
)</f>
        <v>0</v>
      </c>
      <c r="I98" s="19">
        <f t="shared" si="2"/>
        <v>29980</v>
      </c>
      <c r="J98" s="19">
        <f>F98*((G98*(1-H98)) - _xlfn.XLOOKUP(C98,ТаблицаТовары[ID товара],ТаблицаТовары[Себестоимость],0))</f>
        <v>12780</v>
      </c>
      <c r="K98" s="27">
        <f t="shared" si="3"/>
        <v>0.42628418945963975</v>
      </c>
    </row>
    <row r="99" spans="1:11" x14ac:dyDescent="0.25">
      <c r="A99" s="22" t="s">
        <v>164</v>
      </c>
      <c r="B99" s="15">
        <v>45632</v>
      </c>
      <c r="C99" s="22" t="s">
        <v>8</v>
      </c>
      <c r="D99" s="31" t="str">
        <f>_xlfn.XLOOKUP(C99, ТаблицаТовары[ID товара], ТаблицаТовары[Название])</f>
        <v>Наушники Sony WH-1000XM5</v>
      </c>
      <c r="E99" s="17" t="str">
        <f>_xlfn.XLOOKUP(C99,ТаблицаТовары[ID товара],ТаблицаТовары[Категория])</f>
        <v>Электроника</v>
      </c>
      <c r="F99" s="29">
        <v>2</v>
      </c>
      <c r="G99" s="19">
        <f>_xlfn.XLOOKUP(C99, ТаблицаТовары[ID товара], ТаблицаТовары[Цена], "Цена не найдена")</f>
        <v>26990</v>
      </c>
      <c r="H99" s="25">
        <f>MAX(
    (MONTH(B99)=11)*0.15,
    (MONTH(B99)=3)*0.1,
    (OR(C99="Т-003",C99="Т-009",C99="Т-018"))*0.12,
    (F99&gt;=3)*0.08,
    (VLOOKUP(C99,ТаблицаТовары[[ID товара]:[Категория]],3,FALSE)="Одежда")*0.1,
    0
)</f>
        <v>0</v>
      </c>
      <c r="I99" s="19">
        <f t="shared" si="2"/>
        <v>53980</v>
      </c>
      <c r="J99" s="19">
        <f>F99*((G99*(1-H99)) - _xlfn.XLOOKUP(C99,ТаблицаТовары[ID товара],ТаблицаТовары[Себестоимость],0))</f>
        <v>16180</v>
      </c>
      <c r="K99" s="27">
        <f t="shared" si="3"/>
        <v>0.29974064468321598</v>
      </c>
    </row>
    <row r="100" spans="1:11" x14ac:dyDescent="0.25">
      <c r="A100" s="22" t="s">
        <v>165</v>
      </c>
      <c r="B100" s="15">
        <v>45519</v>
      </c>
      <c r="C100" s="22" t="s">
        <v>39</v>
      </c>
      <c r="D100" s="31" t="str">
        <f>_xlfn.XLOOKUP(C100, ТаблицаТовары[ID товара], ТаблицаТовары[Название])</f>
        <v>Джинсы Levi's 501</v>
      </c>
      <c r="E100" s="17" t="str">
        <f>_xlfn.XLOOKUP(C100,ТаблицаТовары[ID товара],ТаблицаТовары[Категория])</f>
        <v>Одежда</v>
      </c>
      <c r="F100" s="29">
        <v>2</v>
      </c>
      <c r="G100" s="19">
        <f>_xlfn.XLOOKUP(C100, ТаблицаТовары[ID товара], ТаблицаТовары[Цена], "Цена не найдена")</f>
        <v>5990</v>
      </c>
      <c r="H100" s="25">
        <f>MAX(
    (MONTH(B100)=11)*0.15,
    (MONTH(B100)=3)*0.1,
    (OR(C100="Т-003",C100="Т-009",C100="Т-018"))*0.12,
    (F100&gt;=3)*0.08,
    (VLOOKUP(C100,ТаблицаТовары[[ID товара]:[Категория]],3,FALSE)="Одежда")*0.1,
    0
)</f>
        <v>0.1</v>
      </c>
      <c r="I100" s="19">
        <f t="shared" si="2"/>
        <v>10782</v>
      </c>
      <c r="J100" s="19">
        <f>F100*((G100*(1-H100)) - _xlfn.XLOOKUP(C100,ТаблицаТовары[ID товара],ТаблицаТовары[Себестоимость],0))</f>
        <v>4982</v>
      </c>
      <c r="K100" s="27">
        <f t="shared" si="3"/>
        <v>0.46206640697458728</v>
      </c>
    </row>
    <row r="101" spans="1:11" x14ac:dyDescent="0.25">
      <c r="A101" s="22" t="s">
        <v>166</v>
      </c>
      <c r="B101" s="15">
        <v>45427</v>
      </c>
      <c r="C101" s="22" t="s">
        <v>37</v>
      </c>
      <c r="D101" s="31" t="str">
        <f>_xlfn.XLOOKUP(C101, ТаблицаТовары[ID товара], ТаблицаТовары[Название])</f>
        <v>Набор посуды 12 предметов</v>
      </c>
      <c r="E101" s="17" t="str">
        <f>_xlfn.XLOOKUP(C101,ТаблицаТовары[ID товара],ТаблицаТовары[Категория])</f>
        <v>Для дома</v>
      </c>
      <c r="F101" s="29">
        <v>2</v>
      </c>
      <c r="G101" s="19">
        <f>_xlfn.XLOOKUP(C101, ТаблицаТовары[ID товара], ТаблицаТовары[Цена], "Цена не найдена")</f>
        <v>14990</v>
      </c>
      <c r="H101" s="25">
        <f>MAX(
    (MONTH(B101)=11)*0.15,
    (MONTH(B101)=3)*0.1,
    (OR(C101="Т-003",C101="Т-009",C101="Т-018"))*0.12,
    (F101&gt;=3)*0.08,
    (VLOOKUP(C101,ТаблицаТовары[[ID товара]:[Категория]],3,FALSE)="Одежда")*0.1,
    0
)</f>
        <v>0</v>
      </c>
      <c r="I101" s="19">
        <f t="shared" si="2"/>
        <v>29980</v>
      </c>
      <c r="J101" s="19">
        <f>F101*((G101*(1-H101)) - _xlfn.XLOOKUP(C101,ТаблицаТовары[ID товара],ТаблицаТовары[Себестоимость],0))</f>
        <v>12780</v>
      </c>
      <c r="K101" s="27">
        <f t="shared" si="3"/>
        <v>0.42628418945963975</v>
      </c>
    </row>
    <row r="102" spans="1:11" x14ac:dyDescent="0.25">
      <c r="A102" s="22" t="s">
        <v>167</v>
      </c>
      <c r="B102" s="15">
        <v>45519</v>
      </c>
      <c r="C102" s="22" t="s">
        <v>16</v>
      </c>
      <c r="D102" s="31" t="str">
        <f>_xlfn.XLOOKUP(C102, ТаблицаТовары[ID товара], ТаблицаТовары[Название])</f>
        <v>Кофемашина DeLonghi</v>
      </c>
      <c r="E102" s="17" t="str">
        <f>_xlfn.XLOOKUP(C102,ТаблицаТовары[ID товара],ТаблицаТовары[Категория])</f>
        <v>Для дома</v>
      </c>
      <c r="F102" s="29">
        <v>3</v>
      </c>
      <c r="G102" s="19">
        <f>_xlfn.XLOOKUP(C102, ТаблицаТовары[ID товара], ТаблицаТовары[Цена], "Цена не найдена")</f>
        <v>45990</v>
      </c>
      <c r="H102" s="25">
        <f>MAX(
    (MONTH(B102)=11)*0.15,
    (MONTH(B102)=3)*0.1,
    (OR(C102="Т-003",C102="Т-009",C102="Т-018"))*0.12,
    (F102&gt;=3)*0.08,
    (VLOOKUP(C102,ТаблицаТовары[[ID товара]:[Категория]],3,FALSE)="Одежда")*0.1,
    0
)</f>
        <v>0.08</v>
      </c>
      <c r="I102" s="19">
        <f t="shared" si="2"/>
        <v>126932.40000000001</v>
      </c>
      <c r="J102" s="19">
        <f>F102*((G102*(1-H102)) - _xlfn.XLOOKUP(C102,ТаблицаТовары[ID товара],ТаблицаТовары[Себестоимость],0))</f>
        <v>29732.400000000009</v>
      </c>
      <c r="K102" s="27">
        <f t="shared" si="3"/>
        <v>0.23423806687654222</v>
      </c>
    </row>
    <row r="103" spans="1:11" x14ac:dyDescent="0.25">
      <c r="A103" s="22" t="s">
        <v>168</v>
      </c>
      <c r="B103" s="15">
        <v>45532</v>
      </c>
      <c r="C103" s="22" t="s">
        <v>46</v>
      </c>
      <c r="D103" s="31" t="str">
        <f>_xlfn.XLOOKUP(C103, ТаблицаТовары[ID товара], ТаблицаТовары[Название])</f>
        <v>Сумка кожаная женская</v>
      </c>
      <c r="E103" s="17" t="str">
        <f>_xlfn.XLOOKUP(C103,ТаблицаТовары[ID товара],ТаблицаТовары[Категория])</f>
        <v>Аксессуары</v>
      </c>
      <c r="F103" s="29">
        <v>2</v>
      </c>
      <c r="G103" s="19">
        <f>_xlfn.XLOOKUP(C103, ТаблицаТовары[ID товара], ТаблицаТовары[Цена], "Цена не найдена")</f>
        <v>7590</v>
      </c>
      <c r="H103" s="25">
        <f>MAX(
    (MONTH(B103)=11)*0.15,
    (MONTH(B103)=3)*0.1,
    (OR(C103="Т-003",C103="Т-009",C103="Т-018"))*0.12,
    (F103&gt;=3)*0.08,
    (VLOOKUP(C103,ТаблицаТовары[[ID товара]:[Категория]],3,FALSE)="Одежда")*0.1,
    0
)</f>
        <v>0.12</v>
      </c>
      <c r="I103" s="19">
        <f t="shared" si="2"/>
        <v>13358.4</v>
      </c>
      <c r="J103" s="19">
        <f>F103*((G103*(1-H103)) - _xlfn.XLOOKUP(C103,ТаблицаТовары[ID товара],ТаблицаТовары[Себестоимость],0))</f>
        <v>4958.3999999999996</v>
      </c>
      <c r="K103" s="27">
        <f t="shared" si="3"/>
        <v>0.37118217750628818</v>
      </c>
    </row>
    <row r="104" spans="1:11" x14ac:dyDescent="0.25">
      <c r="A104" s="22" t="s">
        <v>169</v>
      </c>
      <c r="B104" s="15">
        <v>45444</v>
      </c>
      <c r="C104" s="22" t="s">
        <v>41</v>
      </c>
      <c r="D104" s="31" t="str">
        <f>_xlfn.XLOOKUP(C104, ТаблицаТовары[ID товара], ТаблицаТовары[Название])</f>
        <v>Планшет iPad 10.2"</v>
      </c>
      <c r="E104" s="17" t="str">
        <f>_xlfn.XLOOKUP(C104,ТаблицаТовары[ID товара],ТаблицаТовары[Категория])</f>
        <v>Электроника</v>
      </c>
      <c r="F104" s="29">
        <v>1</v>
      </c>
      <c r="G104" s="19">
        <f>_xlfn.XLOOKUP(C104, ТаблицаТовары[ID товара], ТаблицаТовары[Цена], "Цена не найдена")</f>
        <v>44990</v>
      </c>
      <c r="H104" s="25">
        <f>MAX(
    (MONTH(B104)=11)*0.15,
    (MONTH(B104)=3)*0.1,
    (OR(C104="Т-003",C104="Т-009",C104="Т-018"))*0.12,
    (F104&gt;=3)*0.08,
    (VLOOKUP(C104,ТаблицаТовары[[ID товара]:[Категория]],3,FALSE)="Одежда")*0.1,
    0
)</f>
        <v>0</v>
      </c>
      <c r="I104" s="19">
        <f t="shared" si="2"/>
        <v>44990</v>
      </c>
      <c r="J104" s="19">
        <f>F104*((G104*(1-H104)) - _xlfn.XLOOKUP(C104,ТаблицаТовары[ID товара],ТаблицаТовары[Себестоимость],0))</f>
        <v>12490</v>
      </c>
      <c r="K104" s="27">
        <f t="shared" si="3"/>
        <v>0.27761724827739498</v>
      </c>
    </row>
    <row r="105" spans="1:11" x14ac:dyDescent="0.25">
      <c r="A105" s="22" t="s">
        <v>170</v>
      </c>
      <c r="B105" s="15">
        <v>45561</v>
      </c>
      <c r="C105" s="22" t="s">
        <v>8</v>
      </c>
      <c r="D105" s="31" t="str">
        <f>_xlfn.XLOOKUP(C105, ТаблицаТовары[ID товара], ТаблицаТовары[Название])</f>
        <v>Наушники Sony WH-1000XM5</v>
      </c>
      <c r="E105" s="17" t="str">
        <f>_xlfn.XLOOKUP(C105,ТаблицаТовары[ID товара],ТаблицаТовары[Категория])</f>
        <v>Электроника</v>
      </c>
      <c r="F105" s="29">
        <v>1</v>
      </c>
      <c r="G105" s="19">
        <f>_xlfn.XLOOKUP(C105, ТаблицаТовары[ID товара], ТаблицаТовары[Цена], "Цена не найдена")</f>
        <v>26990</v>
      </c>
      <c r="H105" s="25">
        <f>MAX(
    (MONTH(B105)=11)*0.15,
    (MONTH(B105)=3)*0.1,
    (OR(C105="Т-003",C105="Т-009",C105="Т-018"))*0.12,
    (F105&gt;=3)*0.08,
    (VLOOKUP(C105,ТаблицаТовары[[ID товара]:[Категория]],3,FALSE)="Одежда")*0.1,
    0
)</f>
        <v>0</v>
      </c>
      <c r="I105" s="19">
        <f t="shared" si="2"/>
        <v>26990</v>
      </c>
      <c r="J105" s="19">
        <f>F105*((G105*(1-H105)) - _xlfn.XLOOKUP(C105,ТаблицаТовары[ID товара],ТаблицаТовары[Себестоимость],0))</f>
        <v>8090</v>
      </c>
      <c r="K105" s="27">
        <f t="shared" si="3"/>
        <v>0.29974064468321598</v>
      </c>
    </row>
    <row r="106" spans="1:11" x14ac:dyDescent="0.25">
      <c r="A106" s="22" t="s">
        <v>171</v>
      </c>
      <c r="B106" s="15">
        <v>45575</v>
      </c>
      <c r="C106" s="22" t="s">
        <v>5</v>
      </c>
      <c r="D106" s="31" t="str">
        <f>_xlfn.XLOOKUP(C106, ТаблицаТовары[ID товара], ТаблицаТовары[Название])</f>
        <v>Смартфон Galaxy A54</v>
      </c>
      <c r="E106" s="17" t="str">
        <f>_xlfn.XLOOKUP(C106,ТаблицаТовары[ID товара],ТаблицаТовары[Категория])</f>
        <v>Электроника</v>
      </c>
      <c r="F106" s="29">
        <v>1</v>
      </c>
      <c r="G106" s="19">
        <f>_xlfn.XLOOKUP(C106, ТаблицаТовары[ID товара], ТаблицаТовары[Цена], "Цена не найдена")</f>
        <v>29990</v>
      </c>
      <c r="H106" s="25">
        <f>MAX(
    (MONTH(B106)=11)*0.15,
    (MONTH(B106)=3)*0.1,
    (OR(C106="Т-003",C106="Т-009",C106="Т-018"))*0.12,
    (F106&gt;=3)*0.08,
    (VLOOKUP(C106,ТаблицаТовары[[ID товара]:[Категория]],3,FALSE)="Одежда")*0.1,
    0
)</f>
        <v>0</v>
      </c>
      <c r="I106" s="19">
        <f t="shared" si="2"/>
        <v>29990</v>
      </c>
      <c r="J106" s="19">
        <f>F106*((G106*(1-H106)) - _xlfn.XLOOKUP(C106,ТаблицаТовары[ID товара],ТаблицаТовары[Себестоимость],0))</f>
        <v>8490</v>
      </c>
      <c r="K106" s="27">
        <f t="shared" si="3"/>
        <v>0.28309436478826278</v>
      </c>
    </row>
    <row r="107" spans="1:11" x14ac:dyDescent="0.25">
      <c r="A107" s="22" t="s">
        <v>172</v>
      </c>
      <c r="B107" s="15">
        <v>45457</v>
      </c>
      <c r="C107" s="22" t="s">
        <v>41</v>
      </c>
      <c r="D107" s="31" t="str">
        <f>_xlfn.XLOOKUP(C107, ТаблицаТовары[ID товара], ТаблицаТовары[Название])</f>
        <v>Планшет iPad 10.2"</v>
      </c>
      <c r="E107" s="17" t="str">
        <f>_xlfn.XLOOKUP(C107,ТаблицаТовары[ID товара],ТаблицаТовары[Категория])</f>
        <v>Электроника</v>
      </c>
      <c r="F107" s="29">
        <v>1</v>
      </c>
      <c r="G107" s="19">
        <f>_xlfn.XLOOKUP(C107, ТаблицаТовары[ID товара], ТаблицаТовары[Цена], "Цена не найдена")</f>
        <v>44990</v>
      </c>
      <c r="H107" s="25">
        <f>MAX(
    (MONTH(B107)=11)*0.15,
    (MONTH(B107)=3)*0.1,
    (OR(C107="Т-003",C107="Т-009",C107="Т-018"))*0.12,
    (F107&gt;=3)*0.08,
    (VLOOKUP(C107,ТаблицаТовары[[ID товара]:[Категория]],3,FALSE)="Одежда")*0.1,
    0
)</f>
        <v>0</v>
      </c>
      <c r="I107" s="19">
        <f t="shared" si="2"/>
        <v>44990</v>
      </c>
      <c r="J107" s="19">
        <f>F107*((G107*(1-H107)) - _xlfn.XLOOKUP(C107,ТаблицаТовары[ID товара],ТаблицаТовары[Себестоимость],0))</f>
        <v>12490</v>
      </c>
      <c r="K107" s="27">
        <f t="shared" si="3"/>
        <v>0.27761724827739498</v>
      </c>
    </row>
    <row r="108" spans="1:11" x14ac:dyDescent="0.25">
      <c r="A108" s="22" t="s">
        <v>173</v>
      </c>
      <c r="B108" s="15">
        <v>45499</v>
      </c>
      <c r="C108" s="22" t="s">
        <v>32</v>
      </c>
      <c r="D108" s="31" t="str">
        <f>_xlfn.XLOOKUP(C108, ТаблицаТовары[ID товара], ТаблицаТовары[Название])</f>
        <v>Рюкзак туристический</v>
      </c>
      <c r="E108" s="17" t="str">
        <f>_xlfn.XLOOKUP(C108,ТаблицаТовары[ID товара],ТаблицаТовары[Категория])</f>
        <v>Аксессуары</v>
      </c>
      <c r="F108" s="29">
        <v>2</v>
      </c>
      <c r="G108" s="19">
        <f>_xlfn.XLOOKUP(C108, ТаблицаТовары[ID товара], ТаблицаТовары[Цена], "Цена не найдена")</f>
        <v>3490</v>
      </c>
      <c r="H108" s="25">
        <f>MAX(
    (MONTH(B108)=11)*0.15,
    (MONTH(B108)=3)*0.1,
    (OR(C108="Т-003",C108="Т-009",C108="Т-018"))*0.12,
    (F108&gt;=3)*0.08,
    (VLOOKUP(C108,ТаблицаТовары[[ID товара]:[Категория]],3,FALSE)="Одежда")*0.1,
    0
)</f>
        <v>0</v>
      </c>
      <c r="I108" s="19">
        <f t="shared" si="2"/>
        <v>6980</v>
      </c>
      <c r="J108" s="19">
        <f>F108*((G108*(1-H108)) - _xlfn.XLOOKUP(C108,ТаблицаТовары[ID товара],ТаблицаТовары[Себестоимость],0))</f>
        <v>3380</v>
      </c>
      <c r="K108" s="27">
        <f t="shared" si="3"/>
        <v>0.48424068767908307</v>
      </c>
    </row>
    <row r="109" spans="1:11" x14ac:dyDescent="0.25">
      <c r="A109" s="22" t="s">
        <v>174</v>
      </c>
      <c r="B109" s="15">
        <v>45383</v>
      </c>
      <c r="C109" s="22" t="s">
        <v>26</v>
      </c>
      <c r="D109" s="31" t="str">
        <f>_xlfn.XLOOKUP(C109, ТаблицаТовары[ID товара], ТаблицаТовары[Название])</f>
        <v>Футболка хлопковая</v>
      </c>
      <c r="E109" s="17" t="str">
        <f>_xlfn.XLOOKUP(C109,ТаблицаТовары[ID товара],ТаблицаТовары[Категория])</f>
        <v>Одежда</v>
      </c>
      <c r="F109" s="29">
        <v>2</v>
      </c>
      <c r="G109" s="19">
        <f>_xlfn.XLOOKUP(C109, ТаблицаТовары[ID товара], ТаблицаТовары[Цена], "Цена не найдена")</f>
        <v>990</v>
      </c>
      <c r="H109" s="25">
        <f>MAX(
    (MONTH(B109)=11)*0.15,
    (MONTH(B109)=3)*0.1,
    (OR(C109="Т-003",C109="Т-009",C109="Т-018"))*0.12,
    (F109&gt;=3)*0.08,
    (VLOOKUP(C109,ТаблицаТовары[[ID товара]:[Категория]],3,FALSE)="Одежда")*0.1,
    0
)</f>
        <v>0.12</v>
      </c>
      <c r="I109" s="19">
        <f t="shared" si="2"/>
        <v>1742.4</v>
      </c>
      <c r="J109" s="19">
        <f>F109*((G109*(1-H109)) - _xlfn.XLOOKUP(C109,ТаблицаТовары[ID товара],ТаблицаТовары[Себестоимость],0))</f>
        <v>1042.4000000000001</v>
      </c>
      <c r="K109" s="27">
        <f t="shared" si="3"/>
        <v>0.59825528007346196</v>
      </c>
    </row>
    <row r="110" spans="1:11" x14ac:dyDescent="0.25">
      <c r="A110" s="22" t="s">
        <v>175</v>
      </c>
      <c r="B110" s="15">
        <v>45456</v>
      </c>
      <c r="C110" s="22" t="s">
        <v>30</v>
      </c>
      <c r="D110" s="31" t="str">
        <f>_xlfn.XLOOKUP(C110, ТаблицаТовары[ID товара], ТаблицаТовары[Название])</f>
        <v>Кресло офисное</v>
      </c>
      <c r="E110" s="17" t="str">
        <f>_xlfn.XLOOKUP(C110,ТаблицаТовары[ID товара],ТаблицаТовары[Категория])</f>
        <v>Для дома</v>
      </c>
      <c r="F110" s="29">
        <v>1</v>
      </c>
      <c r="G110" s="19">
        <f>_xlfn.XLOOKUP(C110, ТаблицаТовары[ID товара], ТаблицаТовары[Цена], "Цена не найдена")</f>
        <v>21990</v>
      </c>
      <c r="H110" s="25">
        <f>MAX(
    (MONTH(B110)=11)*0.15,
    (MONTH(B110)=3)*0.1,
    (OR(C110="Т-003",C110="Т-009",C110="Т-018"))*0.12,
    (F110&gt;=3)*0.08,
    (VLOOKUP(C110,ТаблицаТовары[[ID товара]:[Категория]],3,FALSE)="Одежда")*0.1,
    0
)</f>
        <v>0</v>
      </c>
      <c r="I110" s="19">
        <f t="shared" si="2"/>
        <v>21990</v>
      </c>
      <c r="J110" s="19">
        <f>F110*((G110*(1-H110)) - _xlfn.XLOOKUP(C110,ТаблицаТовары[ID товара],ТаблицаТовары[Себестоимость],0))</f>
        <v>7490</v>
      </c>
      <c r="K110" s="27">
        <f t="shared" si="3"/>
        <v>0.34060936789449747</v>
      </c>
    </row>
    <row r="111" spans="1:11" x14ac:dyDescent="0.25">
      <c r="A111" s="22" t="s">
        <v>176</v>
      </c>
      <c r="B111" s="15">
        <v>45583</v>
      </c>
      <c r="C111" s="22" t="s">
        <v>8</v>
      </c>
      <c r="D111" s="31" t="str">
        <f>_xlfn.XLOOKUP(C111, ТаблицаТовары[ID товара], ТаблицаТовары[Название])</f>
        <v>Наушники Sony WH-1000XM5</v>
      </c>
      <c r="E111" s="17" t="str">
        <f>_xlfn.XLOOKUP(C111,ТаблицаТовары[ID товара],ТаблицаТовары[Категория])</f>
        <v>Электроника</v>
      </c>
      <c r="F111" s="29">
        <v>2</v>
      </c>
      <c r="G111" s="19">
        <f>_xlfn.XLOOKUP(C111, ТаблицаТовары[ID товара], ТаблицаТовары[Цена], "Цена не найдена")</f>
        <v>26990</v>
      </c>
      <c r="H111" s="25">
        <f>MAX(
    (MONTH(B111)=11)*0.15,
    (MONTH(B111)=3)*0.1,
    (OR(C111="Т-003",C111="Т-009",C111="Т-018"))*0.12,
    (F111&gt;=3)*0.08,
    (VLOOKUP(C111,ТаблицаТовары[[ID товара]:[Категория]],3,FALSE)="Одежда")*0.1,
    0
)</f>
        <v>0</v>
      </c>
      <c r="I111" s="19">
        <f t="shared" si="2"/>
        <v>53980</v>
      </c>
      <c r="J111" s="19">
        <f>F111*((G111*(1-H111)) - _xlfn.XLOOKUP(C111,ТаблицаТовары[ID товара],ТаблицаТовары[Себестоимость],0))</f>
        <v>16180</v>
      </c>
      <c r="K111" s="27">
        <f t="shared" si="3"/>
        <v>0.29974064468321598</v>
      </c>
    </row>
    <row r="112" spans="1:11" x14ac:dyDescent="0.25">
      <c r="A112" s="22" t="s">
        <v>177</v>
      </c>
      <c r="B112" s="15">
        <v>45539</v>
      </c>
      <c r="C112" s="22" t="s">
        <v>35</v>
      </c>
      <c r="D112" s="31" t="str">
        <f>_xlfn.XLOOKUP(C112, ТаблицаТовары[ID товара], ТаблицаТовары[Название])</f>
        <v>Умные часы Apple Watch</v>
      </c>
      <c r="E112" s="17" t="str">
        <f>_xlfn.XLOOKUP(C112,ТаблицаТовары[ID товара],ТаблицаТовары[Категория])</f>
        <v>Электроника</v>
      </c>
      <c r="F112" s="29">
        <v>2</v>
      </c>
      <c r="G112" s="19">
        <f>_xlfn.XLOOKUP(C112, ТаблицаТовары[ID товара], ТаблицаТовары[Цена], "Цена не найдена")</f>
        <v>39990</v>
      </c>
      <c r="H112" s="25">
        <f>MAX(
    (MONTH(B112)=11)*0.15,
    (MONTH(B112)=3)*0.1,
    (OR(C112="Т-003",C112="Т-009",C112="Т-018"))*0.12,
    (F112&gt;=3)*0.08,
    (VLOOKUP(C112,ТаблицаТовары[[ID товара]:[Категория]],3,FALSE)="Одежда")*0.1,
    0
)</f>
        <v>0</v>
      </c>
      <c r="I112" s="19">
        <f t="shared" si="2"/>
        <v>79980</v>
      </c>
      <c r="J112" s="19">
        <f>F112*((G112*(1-H112)) - _xlfn.XLOOKUP(C112,ТаблицаТовары[ID товара],ТаблицаТовары[Себестоимость],0))</f>
        <v>22980</v>
      </c>
      <c r="K112" s="27">
        <f t="shared" si="3"/>
        <v>0.28732183045761439</v>
      </c>
    </row>
    <row r="113" spans="1:11" x14ac:dyDescent="0.25">
      <c r="A113" s="22" t="s">
        <v>178</v>
      </c>
      <c r="B113" s="15">
        <v>45587</v>
      </c>
      <c r="C113" s="22" t="s">
        <v>8</v>
      </c>
      <c r="D113" s="31" t="str">
        <f>_xlfn.XLOOKUP(C113, ТаблицаТовары[ID товара], ТаблицаТовары[Название])</f>
        <v>Наушники Sony WH-1000XM5</v>
      </c>
      <c r="E113" s="17" t="str">
        <f>_xlfn.XLOOKUP(C113,ТаблицаТовары[ID товара],ТаблицаТовары[Категория])</f>
        <v>Электроника</v>
      </c>
      <c r="F113" s="29">
        <v>1</v>
      </c>
      <c r="G113" s="19">
        <f>_xlfn.XLOOKUP(C113, ТаблицаТовары[ID товара], ТаблицаТовары[Цена], "Цена не найдена")</f>
        <v>26990</v>
      </c>
      <c r="H113" s="25">
        <f>MAX(
    (MONTH(B113)=11)*0.15,
    (MONTH(B113)=3)*0.1,
    (OR(C113="Т-003",C113="Т-009",C113="Т-018"))*0.12,
    (F113&gt;=3)*0.08,
    (VLOOKUP(C113,ТаблицаТовары[[ID товара]:[Категория]],3,FALSE)="Одежда")*0.1,
    0
)</f>
        <v>0</v>
      </c>
      <c r="I113" s="19">
        <f t="shared" si="2"/>
        <v>26990</v>
      </c>
      <c r="J113" s="19">
        <f>F113*((G113*(1-H113)) - _xlfn.XLOOKUP(C113,ТаблицаТовары[ID товара],ТаблицаТовары[Себестоимость],0))</f>
        <v>8090</v>
      </c>
      <c r="K113" s="27">
        <f t="shared" si="3"/>
        <v>0.29974064468321598</v>
      </c>
    </row>
    <row r="114" spans="1:11" x14ac:dyDescent="0.25">
      <c r="A114" s="22" t="s">
        <v>179</v>
      </c>
      <c r="B114" s="15">
        <v>45575</v>
      </c>
      <c r="C114" s="22" t="s">
        <v>10</v>
      </c>
      <c r="D114" s="31" t="str">
        <f>_xlfn.XLOOKUP(C114, ТаблицаТовары[ID товара], ТаблицаТовары[Название])</f>
        <v>Книга "Мастерство продаж"</v>
      </c>
      <c r="E114" s="17" t="str">
        <f>_xlfn.XLOOKUP(C114,ТаблицаТовары[ID товара],ТаблицаТовары[Категория])</f>
        <v>Книги</v>
      </c>
      <c r="F114" s="29">
        <v>3</v>
      </c>
      <c r="G114" s="19">
        <f>_xlfn.XLOOKUP(C114, ТаблицаТовары[ID товара], ТаблицаТовары[Цена], "Цена не найдена")</f>
        <v>890</v>
      </c>
      <c r="H114" s="25">
        <f>MAX(
    (MONTH(B114)=11)*0.15,
    (MONTH(B114)=3)*0.1,
    (OR(C114="Т-003",C114="Т-009",C114="Т-018"))*0.12,
    (F114&gt;=3)*0.08,
    (VLOOKUP(C114,ТаблицаТовары[[ID товара]:[Категория]],3,FALSE)="Одежда")*0.1,
    0
)</f>
        <v>0.12</v>
      </c>
      <c r="I114" s="19">
        <f t="shared" si="2"/>
        <v>2349.6</v>
      </c>
      <c r="J114" s="19">
        <f>F114*((G114*(1-H114)) - _xlfn.XLOOKUP(C114,ТаблицаТовары[ID товара],ТаблицаТовары[Себестоимость],0))</f>
        <v>999.60000000000014</v>
      </c>
      <c r="K114" s="27">
        <f t="shared" si="3"/>
        <v>0.42543411644535245</v>
      </c>
    </row>
    <row r="115" spans="1:11" x14ac:dyDescent="0.25">
      <c r="A115" s="22" t="s">
        <v>180</v>
      </c>
      <c r="B115" s="15">
        <v>45489</v>
      </c>
      <c r="C115" s="22" t="s">
        <v>30</v>
      </c>
      <c r="D115" s="31" t="str">
        <f>_xlfn.XLOOKUP(C115, ТаблицаТовары[ID товара], ТаблицаТовары[Название])</f>
        <v>Кресло офисное</v>
      </c>
      <c r="E115" s="17" t="str">
        <f>_xlfn.XLOOKUP(C115,ТаблицаТовары[ID товара],ТаблицаТовары[Категория])</f>
        <v>Для дома</v>
      </c>
      <c r="F115" s="29">
        <v>2</v>
      </c>
      <c r="G115" s="19">
        <f>_xlfn.XLOOKUP(C115, ТаблицаТовары[ID товара], ТаблицаТовары[Цена], "Цена не найдена")</f>
        <v>21990</v>
      </c>
      <c r="H115" s="25">
        <f>MAX(
    (MONTH(B115)=11)*0.15,
    (MONTH(B115)=3)*0.1,
    (OR(C115="Т-003",C115="Т-009",C115="Т-018"))*0.12,
    (F115&gt;=3)*0.08,
    (VLOOKUP(C115,ТаблицаТовары[[ID товара]:[Категория]],3,FALSE)="Одежда")*0.1,
    0
)</f>
        <v>0</v>
      </c>
      <c r="I115" s="19">
        <f t="shared" si="2"/>
        <v>43980</v>
      </c>
      <c r="J115" s="19">
        <f>F115*((G115*(1-H115)) - _xlfn.XLOOKUP(C115,ТаблицаТовары[ID товара],ТаблицаТовары[Себестоимость],0))</f>
        <v>14980</v>
      </c>
      <c r="K115" s="27">
        <f t="shared" si="3"/>
        <v>0.34060936789449747</v>
      </c>
    </row>
    <row r="116" spans="1:11" x14ac:dyDescent="0.25">
      <c r="A116" s="22" t="s">
        <v>181</v>
      </c>
      <c r="B116" s="15">
        <v>45412</v>
      </c>
      <c r="C116" s="22" t="s">
        <v>5</v>
      </c>
      <c r="D116" s="31" t="str">
        <f>_xlfn.XLOOKUP(C116, ТаблицаТовары[ID товара], ТаблицаТовары[Название])</f>
        <v>Смартфон Galaxy A54</v>
      </c>
      <c r="E116" s="17" t="str">
        <f>_xlfn.XLOOKUP(C116,ТаблицаТовары[ID товара],ТаблицаТовары[Категория])</f>
        <v>Электроника</v>
      </c>
      <c r="F116" s="29">
        <v>1</v>
      </c>
      <c r="G116" s="19">
        <f>_xlfn.XLOOKUP(C116, ТаблицаТовары[ID товара], ТаблицаТовары[Цена], "Цена не найдена")</f>
        <v>29990</v>
      </c>
      <c r="H116" s="25">
        <f>MAX(
    (MONTH(B116)=11)*0.15,
    (MONTH(B116)=3)*0.1,
    (OR(C116="Т-003",C116="Т-009",C116="Т-018"))*0.12,
    (F116&gt;=3)*0.08,
    (VLOOKUP(C116,ТаблицаТовары[[ID товара]:[Категория]],3,FALSE)="Одежда")*0.1,
    0
)</f>
        <v>0</v>
      </c>
      <c r="I116" s="19">
        <f t="shared" si="2"/>
        <v>29990</v>
      </c>
      <c r="J116" s="19">
        <f>F116*((G116*(1-H116)) - _xlfn.XLOOKUP(C116,ТаблицаТовары[ID товара],ТаблицаТовары[Себестоимость],0))</f>
        <v>8490</v>
      </c>
      <c r="K116" s="27">
        <f t="shared" si="3"/>
        <v>0.28309436478826278</v>
      </c>
    </row>
    <row r="117" spans="1:11" x14ac:dyDescent="0.25">
      <c r="A117" s="22" t="s">
        <v>182</v>
      </c>
      <c r="B117" s="15">
        <v>45379</v>
      </c>
      <c r="C117" s="22" t="s">
        <v>48</v>
      </c>
      <c r="D117" s="31" t="str">
        <f>_xlfn.XLOOKUP(C117, ТаблицаТовары[ID товара], ТаблицаТовары[Название])</f>
        <v>Микрофон для стримов</v>
      </c>
      <c r="E117" s="17" t="str">
        <f>_xlfn.XLOOKUP(C117,ТаблицаТовары[ID товара],ТаблицаТовары[Категория])</f>
        <v>Электроника</v>
      </c>
      <c r="F117" s="29">
        <v>1</v>
      </c>
      <c r="G117" s="19">
        <f>_xlfn.XLOOKUP(C117, ТаблицаТовары[ID товара], ТаблицаТовары[Цена], "Цена не найдена")</f>
        <v>12990</v>
      </c>
      <c r="H117" s="25">
        <f>MAX(
    (MONTH(B117)=11)*0.15,
    (MONTH(B117)=3)*0.1,
    (OR(C117="Т-003",C117="Т-009",C117="Т-018"))*0.12,
    (F117&gt;=3)*0.08,
    (VLOOKUP(C117,ТаблицаТовары[[ID товара]:[Категория]],3,FALSE)="Одежда")*0.1,
    0
)</f>
        <v>0.1</v>
      </c>
      <c r="I117" s="19">
        <f t="shared" si="2"/>
        <v>11691</v>
      </c>
      <c r="J117" s="19">
        <f>F117*((G117*(1-H117)) - _xlfn.XLOOKUP(C117,ТаблицаТовары[ID товара],ТаблицаТовары[Себестоимость],0))</f>
        <v>2791</v>
      </c>
      <c r="K117" s="27">
        <f t="shared" si="3"/>
        <v>0.23873064750662903</v>
      </c>
    </row>
    <row r="118" spans="1:11" x14ac:dyDescent="0.25">
      <c r="A118" s="22" t="s">
        <v>183</v>
      </c>
      <c r="B118" s="15">
        <v>45498</v>
      </c>
      <c r="C118" s="22" t="s">
        <v>32</v>
      </c>
      <c r="D118" s="31" t="str">
        <f>_xlfn.XLOOKUP(C118, ТаблицаТовары[ID товара], ТаблицаТовары[Название])</f>
        <v>Рюкзак туристический</v>
      </c>
      <c r="E118" s="17" t="str">
        <f>_xlfn.XLOOKUP(C118,ТаблицаТовары[ID товара],ТаблицаТовары[Категория])</f>
        <v>Аксессуары</v>
      </c>
      <c r="F118" s="29">
        <v>3</v>
      </c>
      <c r="G118" s="19">
        <f>_xlfn.XLOOKUP(C118, ТаблицаТовары[ID товара], ТаблицаТовары[Цена], "Цена не найдена")</f>
        <v>3490</v>
      </c>
      <c r="H118" s="25">
        <f>MAX(
    (MONTH(B118)=11)*0.15,
    (MONTH(B118)=3)*0.1,
    (OR(C118="Т-003",C118="Т-009",C118="Т-018"))*0.12,
    (F118&gt;=3)*0.08,
    (VLOOKUP(C118,ТаблицаТовары[[ID товара]:[Категория]],3,FALSE)="Одежда")*0.1,
    0
)</f>
        <v>0.08</v>
      </c>
      <c r="I118" s="19">
        <f t="shared" si="2"/>
        <v>9632.4</v>
      </c>
      <c r="J118" s="19">
        <f>F118*((G118*(1-H118)) - _xlfn.XLOOKUP(C118,ТаблицаТовары[ID товара],ТаблицаТовары[Себестоимость],0))</f>
        <v>4232.4000000000005</v>
      </c>
      <c r="K118" s="27">
        <f t="shared" si="3"/>
        <v>0.43939205182509039</v>
      </c>
    </row>
    <row r="119" spans="1:11" x14ac:dyDescent="0.25">
      <c r="A119" s="22" t="s">
        <v>184</v>
      </c>
      <c r="B119" s="15">
        <v>45537</v>
      </c>
      <c r="C119" s="22" t="s">
        <v>8</v>
      </c>
      <c r="D119" s="31" t="str">
        <f>_xlfn.XLOOKUP(C119, ТаблицаТовары[ID товара], ТаблицаТовары[Название])</f>
        <v>Наушники Sony WH-1000XM5</v>
      </c>
      <c r="E119" s="17" t="str">
        <f>_xlfn.XLOOKUP(C119,ТаблицаТовары[ID товара],ТаблицаТовары[Категория])</f>
        <v>Электроника</v>
      </c>
      <c r="F119" s="29">
        <v>1</v>
      </c>
      <c r="G119" s="19">
        <f>_xlfn.XLOOKUP(C119, ТаблицаТовары[ID товара], ТаблицаТовары[Цена], "Цена не найдена")</f>
        <v>26990</v>
      </c>
      <c r="H119" s="25">
        <f>MAX(
    (MONTH(B119)=11)*0.15,
    (MONTH(B119)=3)*0.1,
    (OR(C119="Т-003",C119="Т-009",C119="Т-018"))*0.12,
    (F119&gt;=3)*0.08,
    (VLOOKUP(C119,ТаблицаТовары[[ID товара]:[Категория]],3,FALSE)="Одежда")*0.1,
    0
)</f>
        <v>0</v>
      </c>
      <c r="I119" s="19">
        <f t="shared" si="2"/>
        <v>26990</v>
      </c>
      <c r="J119" s="19">
        <f>F119*((G119*(1-H119)) - _xlfn.XLOOKUP(C119,ТаблицаТовары[ID товара],ТаблицаТовары[Себестоимость],0))</f>
        <v>8090</v>
      </c>
      <c r="K119" s="27">
        <f t="shared" si="3"/>
        <v>0.29974064468321598</v>
      </c>
    </row>
    <row r="120" spans="1:11" x14ac:dyDescent="0.25">
      <c r="A120" s="22" t="s">
        <v>185</v>
      </c>
      <c r="B120" s="15">
        <v>45341</v>
      </c>
      <c r="C120" s="22" t="s">
        <v>8</v>
      </c>
      <c r="D120" s="31" t="str">
        <f>_xlfn.XLOOKUP(C120, ТаблицаТовары[ID товара], ТаблицаТовары[Название])</f>
        <v>Наушники Sony WH-1000XM5</v>
      </c>
      <c r="E120" s="17" t="str">
        <f>_xlfn.XLOOKUP(C120,ТаблицаТовары[ID товара],ТаблицаТовары[Категория])</f>
        <v>Электроника</v>
      </c>
      <c r="F120" s="29">
        <v>1</v>
      </c>
      <c r="G120" s="19">
        <f>_xlfn.XLOOKUP(C120, ТаблицаТовары[ID товара], ТаблицаТовары[Цена], "Цена не найдена")</f>
        <v>26990</v>
      </c>
      <c r="H120" s="25">
        <f>MAX(
    (MONTH(B120)=11)*0.15,
    (MONTH(B120)=3)*0.1,
    (OR(C120="Т-003",C120="Т-009",C120="Т-018"))*0.12,
    (F120&gt;=3)*0.08,
    (VLOOKUP(C120,ТаблицаТовары[[ID товара]:[Категория]],3,FALSE)="Одежда")*0.1,
    0
)</f>
        <v>0</v>
      </c>
      <c r="I120" s="19">
        <f t="shared" si="2"/>
        <v>26990</v>
      </c>
      <c r="J120" s="19">
        <f>F120*((G120*(1-H120)) - _xlfn.XLOOKUP(C120,ТаблицаТовары[ID товара],ТаблицаТовары[Себестоимость],0))</f>
        <v>8090</v>
      </c>
      <c r="K120" s="27">
        <f t="shared" si="3"/>
        <v>0.29974064468321598</v>
      </c>
    </row>
    <row r="121" spans="1:11" x14ac:dyDescent="0.25">
      <c r="A121" s="22" t="s">
        <v>186</v>
      </c>
      <c r="B121" s="15">
        <v>45369</v>
      </c>
      <c r="C121" s="22" t="s">
        <v>46</v>
      </c>
      <c r="D121" s="31" t="str">
        <f>_xlfn.XLOOKUP(C121, ТаблицаТовары[ID товара], ТаблицаТовары[Название])</f>
        <v>Сумка кожаная женская</v>
      </c>
      <c r="E121" s="17" t="str">
        <f>_xlfn.XLOOKUP(C121,ТаблицаТовары[ID товара],ТаблицаТовары[Категория])</f>
        <v>Аксессуары</v>
      </c>
      <c r="F121" s="29">
        <v>3</v>
      </c>
      <c r="G121" s="19">
        <f>_xlfn.XLOOKUP(C121, ТаблицаТовары[ID товара], ТаблицаТовары[Цена], "Цена не найдена")</f>
        <v>7590</v>
      </c>
      <c r="H121" s="25">
        <f>MAX(
    (MONTH(B121)=11)*0.15,
    (MONTH(B121)=3)*0.1,
    (OR(C121="Т-003",C121="Т-009",C121="Т-018"))*0.12,
    (F121&gt;=3)*0.08,
    (VLOOKUP(C121,ТаблицаТовары[[ID товара]:[Категория]],3,FALSE)="Одежда")*0.1,
    0
)</f>
        <v>0.12</v>
      </c>
      <c r="I121" s="19">
        <f t="shared" si="2"/>
        <v>20037.599999999999</v>
      </c>
      <c r="J121" s="19">
        <f>F121*((G121*(1-H121)) - _xlfn.XLOOKUP(C121,ТаблицаТовары[ID товара],ТаблицаТовары[Себестоимость],0))</f>
        <v>7437.5999999999995</v>
      </c>
      <c r="K121" s="27">
        <f t="shared" si="3"/>
        <v>0.37118217750628818</v>
      </c>
    </row>
    <row r="122" spans="1:11" x14ac:dyDescent="0.25">
      <c r="A122" s="22" t="s">
        <v>187</v>
      </c>
      <c r="B122" s="15">
        <v>45551</v>
      </c>
      <c r="C122" s="22" t="s">
        <v>46</v>
      </c>
      <c r="D122" s="31" t="str">
        <f>_xlfn.XLOOKUP(C122, ТаблицаТовары[ID товара], ТаблицаТовары[Название])</f>
        <v>Сумка кожаная женская</v>
      </c>
      <c r="E122" s="17" t="str">
        <f>_xlfn.XLOOKUP(C122,ТаблицаТовары[ID товара],ТаблицаТовары[Категория])</f>
        <v>Аксессуары</v>
      </c>
      <c r="F122" s="29">
        <v>3</v>
      </c>
      <c r="G122" s="19">
        <f>_xlfn.XLOOKUP(C122, ТаблицаТовары[ID товара], ТаблицаТовары[Цена], "Цена не найдена")</f>
        <v>7590</v>
      </c>
      <c r="H122" s="25">
        <f>MAX(
    (MONTH(B122)=11)*0.15,
    (MONTH(B122)=3)*0.1,
    (OR(C122="Т-003",C122="Т-009",C122="Т-018"))*0.12,
    (F122&gt;=3)*0.08,
    (VLOOKUP(C122,ТаблицаТовары[[ID товара]:[Категория]],3,FALSE)="Одежда")*0.1,
    0
)</f>
        <v>0.12</v>
      </c>
      <c r="I122" s="19">
        <f t="shared" si="2"/>
        <v>20037.599999999999</v>
      </c>
      <c r="J122" s="19">
        <f>F122*((G122*(1-H122)) - _xlfn.XLOOKUP(C122,ТаблицаТовары[ID товара],ТаблицаТовары[Себестоимость],0))</f>
        <v>7437.5999999999995</v>
      </c>
      <c r="K122" s="27">
        <f t="shared" si="3"/>
        <v>0.37118217750628818</v>
      </c>
    </row>
    <row r="123" spans="1:11" x14ac:dyDescent="0.25">
      <c r="A123" s="22" t="s">
        <v>188</v>
      </c>
      <c r="B123" s="15">
        <v>45324</v>
      </c>
      <c r="C123" s="22" t="s">
        <v>46</v>
      </c>
      <c r="D123" s="31" t="str">
        <f>_xlfn.XLOOKUP(C123, ТаблицаТовары[ID товара], ТаблицаТовары[Название])</f>
        <v>Сумка кожаная женская</v>
      </c>
      <c r="E123" s="17" t="str">
        <f>_xlfn.XLOOKUP(C123,ТаблицаТовары[ID товара],ТаблицаТовары[Категория])</f>
        <v>Аксессуары</v>
      </c>
      <c r="F123" s="29">
        <v>1</v>
      </c>
      <c r="G123" s="19">
        <f>_xlfn.XLOOKUP(C123, ТаблицаТовары[ID товара], ТаблицаТовары[Цена], "Цена не найдена")</f>
        <v>7590</v>
      </c>
      <c r="H123" s="25">
        <f>MAX(
    (MONTH(B123)=11)*0.15,
    (MONTH(B123)=3)*0.1,
    (OR(C123="Т-003",C123="Т-009",C123="Т-018"))*0.12,
    (F123&gt;=3)*0.08,
    (VLOOKUP(C123,ТаблицаТовары[[ID товара]:[Категория]],3,FALSE)="Одежда")*0.1,
    0
)</f>
        <v>0.12</v>
      </c>
      <c r="I123" s="19">
        <f t="shared" si="2"/>
        <v>6679.2</v>
      </c>
      <c r="J123" s="19">
        <f>F123*((G123*(1-H123)) - _xlfn.XLOOKUP(C123,ТаблицаТовары[ID товара],ТаблицаТовары[Себестоимость],0))</f>
        <v>2479.1999999999998</v>
      </c>
      <c r="K123" s="27">
        <f t="shared" si="3"/>
        <v>0.37118217750628818</v>
      </c>
    </row>
    <row r="124" spans="1:11" x14ac:dyDescent="0.25">
      <c r="A124" s="22" t="s">
        <v>189</v>
      </c>
      <c r="B124" s="15">
        <v>45374</v>
      </c>
      <c r="C124" s="22" t="s">
        <v>28</v>
      </c>
      <c r="D124" s="31" t="str">
        <f>_xlfn.XLOOKUP(C124, ТаблицаТовары[ID товара], ТаблицаТовары[Название])</f>
        <v>Монитор 24" Samsung</v>
      </c>
      <c r="E124" s="17" t="str">
        <f>_xlfn.XLOOKUP(C124,ТаблицаТовары[ID товара],ТаблицаТовары[Категория])</f>
        <v>Электроника</v>
      </c>
      <c r="F124" s="29">
        <v>2</v>
      </c>
      <c r="G124" s="19">
        <f>_xlfn.XLOOKUP(C124, ТаблицаТовары[ID товара], ТаблицаТовары[Цена], "Цена не найдена")</f>
        <v>18990</v>
      </c>
      <c r="H124" s="25">
        <f>MAX(
    (MONTH(B124)=11)*0.15,
    (MONTH(B124)=3)*0.1,
    (OR(C124="Т-003",C124="Т-009",C124="Т-018"))*0.12,
    (F124&gt;=3)*0.08,
    (VLOOKUP(C124,ТаблицаТовары[[ID товара]:[Категория]],3,FALSE)="Одежда")*0.1,
    0
)</f>
        <v>0.1</v>
      </c>
      <c r="I124" s="19">
        <f t="shared" si="2"/>
        <v>34182</v>
      </c>
      <c r="J124" s="19">
        <f>F124*((G124*(1-H124)) - _xlfn.XLOOKUP(C124,ТаблицаТовары[ID товара],ТаблицаТовары[Себестоимость],0))</f>
        <v>7782</v>
      </c>
      <c r="K124" s="27">
        <f t="shared" si="3"/>
        <v>0.22766368263998596</v>
      </c>
    </row>
    <row r="125" spans="1:11" x14ac:dyDescent="0.25">
      <c r="A125" s="22" t="s">
        <v>190</v>
      </c>
      <c r="B125" s="15">
        <v>45311</v>
      </c>
      <c r="C125" s="22" t="s">
        <v>39</v>
      </c>
      <c r="D125" s="31" t="str">
        <f>_xlfn.XLOOKUP(C125, ТаблицаТовары[ID товара], ТаблицаТовары[Название])</f>
        <v>Джинсы Levi's 501</v>
      </c>
      <c r="E125" s="17" t="str">
        <f>_xlfn.XLOOKUP(C125,ТаблицаТовары[ID товара],ТаблицаТовары[Категория])</f>
        <v>Одежда</v>
      </c>
      <c r="F125" s="29">
        <v>1</v>
      </c>
      <c r="G125" s="19">
        <f>_xlfn.XLOOKUP(C125, ТаблицаТовары[ID товара], ТаблицаТовары[Цена], "Цена не найдена")</f>
        <v>5990</v>
      </c>
      <c r="H125" s="25">
        <f>MAX(
    (MONTH(B125)=11)*0.15,
    (MONTH(B125)=3)*0.1,
    (OR(C125="Т-003",C125="Т-009",C125="Т-018"))*0.12,
    (F125&gt;=3)*0.08,
    (VLOOKUP(C125,ТаблицаТовары[[ID товара]:[Категория]],3,FALSE)="Одежда")*0.1,
    0
)</f>
        <v>0.1</v>
      </c>
      <c r="I125" s="19">
        <f t="shared" si="2"/>
        <v>5391</v>
      </c>
      <c r="J125" s="19">
        <f>F125*((G125*(1-H125)) - _xlfn.XLOOKUP(C125,ТаблицаТовары[ID товара],ТаблицаТовары[Себестоимость],0))</f>
        <v>2491</v>
      </c>
      <c r="K125" s="27">
        <f t="shared" si="3"/>
        <v>0.46206640697458728</v>
      </c>
    </row>
    <row r="126" spans="1:11" x14ac:dyDescent="0.25">
      <c r="A126" s="22" t="s">
        <v>191</v>
      </c>
      <c r="B126" s="15">
        <v>45460</v>
      </c>
      <c r="C126" s="22" t="s">
        <v>43</v>
      </c>
      <c r="D126" s="31" t="str">
        <f>_xlfn.XLOOKUP(C126, ТаблицаТовары[ID товара], ТаблицаТовары[Название])</f>
        <v>Беговая дорожка</v>
      </c>
      <c r="E126" s="17" t="str">
        <f>_xlfn.XLOOKUP(C126,ТаблицаТовары[ID товара],ТаблицаТовары[Категория])</f>
        <v>Спорт</v>
      </c>
      <c r="F126" s="29">
        <v>1</v>
      </c>
      <c r="G126" s="19">
        <f>_xlfn.XLOOKUP(C126, ТаблицаТовары[ID товара], ТаблицаТовары[Цена], "Цена не найдена")</f>
        <v>79990</v>
      </c>
      <c r="H126" s="25">
        <f>MAX(
    (MONTH(B126)=11)*0.15,
    (MONTH(B126)=3)*0.1,
    (OR(C126="Т-003",C126="Т-009",C126="Т-018"))*0.12,
    (F126&gt;=3)*0.08,
    (VLOOKUP(C126,ТаблицаТовары[[ID товара]:[Категория]],3,FALSE)="Одежда")*0.1,
    0
)</f>
        <v>0</v>
      </c>
      <c r="I126" s="19">
        <f t="shared" si="2"/>
        <v>79990</v>
      </c>
      <c r="J126" s="19">
        <f>F126*((G126*(1-H126)) - _xlfn.XLOOKUP(C126,ТаблицаТовары[ID товара],ТаблицаТовары[Себестоимость],0))</f>
        <v>21090</v>
      </c>
      <c r="K126" s="27">
        <f t="shared" si="3"/>
        <v>0.26365795724465557</v>
      </c>
    </row>
    <row r="127" spans="1:11" x14ac:dyDescent="0.25">
      <c r="A127" s="22" t="s">
        <v>192</v>
      </c>
      <c r="B127" s="15">
        <v>45368</v>
      </c>
      <c r="C127" s="22" t="s">
        <v>13</v>
      </c>
      <c r="D127" s="31" t="str">
        <f>_xlfn.XLOOKUP(C127, ТаблицаТовары[ID товара], ТаблицаТовары[Название])</f>
        <v>Куртка зимняя North Face</v>
      </c>
      <c r="E127" s="17" t="str">
        <f>_xlfn.XLOOKUP(C127,ТаблицаТовары[ID товара],ТаблицаТовары[Категория])</f>
        <v>Одежда</v>
      </c>
      <c r="F127" s="29">
        <v>1</v>
      </c>
      <c r="G127" s="19">
        <f>_xlfn.XLOOKUP(C127, ТаблицаТовары[ID товара], ТаблицаТовары[Цена], "Цена не найдена")</f>
        <v>12990</v>
      </c>
      <c r="H127" s="25">
        <f>MAX(
    (MONTH(B127)=11)*0.15,
    (MONTH(B127)=3)*0.1,
    (OR(C127="Т-003",C127="Т-009",C127="Т-018"))*0.12,
    (F127&gt;=3)*0.08,
    (VLOOKUP(C127,ТаблицаТовары[[ID товара]:[Категория]],3,FALSE)="Одежда")*0.1,
    0
)</f>
        <v>0.1</v>
      </c>
      <c r="I127" s="19">
        <f t="shared" si="2"/>
        <v>11691</v>
      </c>
      <c r="J127" s="19">
        <f>F127*((G127*(1-H127)) - _xlfn.XLOOKUP(C127,ТаблицаТовары[ID товара],ТаблицаТовары[Себестоимость],0))</f>
        <v>4191</v>
      </c>
      <c r="K127" s="27">
        <f t="shared" si="3"/>
        <v>0.35848088273030537</v>
      </c>
    </row>
    <row r="128" spans="1:11" x14ac:dyDescent="0.25">
      <c r="A128" s="22" t="s">
        <v>193</v>
      </c>
      <c r="B128" s="15">
        <v>45580</v>
      </c>
      <c r="C128" s="22" t="s">
        <v>13</v>
      </c>
      <c r="D128" s="31" t="str">
        <f>_xlfn.XLOOKUP(C128, ТаблицаТовары[ID товара], ТаблицаТовары[Название])</f>
        <v>Куртка зимняя North Face</v>
      </c>
      <c r="E128" s="17" t="str">
        <f>_xlfn.XLOOKUP(C128,ТаблицаТовары[ID товара],ТаблицаТовары[Категория])</f>
        <v>Одежда</v>
      </c>
      <c r="F128" s="29">
        <v>1</v>
      </c>
      <c r="G128" s="19">
        <f>_xlfn.XLOOKUP(C128, ТаблицаТовары[ID товара], ТаблицаТовары[Цена], "Цена не найдена")</f>
        <v>12990</v>
      </c>
      <c r="H128" s="25">
        <f>MAX(
    (MONTH(B128)=11)*0.15,
    (MONTH(B128)=3)*0.1,
    (OR(C128="Т-003",C128="Т-009",C128="Т-018"))*0.12,
    (F128&gt;=3)*0.08,
    (VLOOKUP(C128,ТаблицаТовары[[ID товара]:[Категория]],3,FALSE)="Одежда")*0.1,
    0
)</f>
        <v>0.1</v>
      </c>
      <c r="I128" s="19">
        <f t="shared" si="2"/>
        <v>11691</v>
      </c>
      <c r="J128" s="19">
        <f>F128*((G128*(1-H128)) - _xlfn.XLOOKUP(C128,ТаблицаТовары[ID товара],ТаблицаТовары[Себестоимость],0))</f>
        <v>4191</v>
      </c>
      <c r="K128" s="27">
        <f t="shared" si="3"/>
        <v>0.35848088273030537</v>
      </c>
    </row>
    <row r="129" spans="1:11" x14ac:dyDescent="0.25">
      <c r="A129" s="22" t="s">
        <v>194</v>
      </c>
      <c r="B129" s="15">
        <v>45337</v>
      </c>
      <c r="C129" s="22" t="s">
        <v>30</v>
      </c>
      <c r="D129" s="31" t="str">
        <f>_xlfn.XLOOKUP(C129, ТаблицаТовары[ID товара], ТаблицаТовары[Название])</f>
        <v>Кресло офисное</v>
      </c>
      <c r="E129" s="17" t="str">
        <f>_xlfn.XLOOKUP(C129,ТаблицаТовары[ID товара],ТаблицаТовары[Категория])</f>
        <v>Для дома</v>
      </c>
      <c r="F129" s="29">
        <v>1</v>
      </c>
      <c r="G129" s="19">
        <f>_xlfn.XLOOKUP(C129, ТаблицаТовары[ID товара], ТаблицаТовары[Цена], "Цена не найдена")</f>
        <v>21990</v>
      </c>
      <c r="H129" s="25">
        <f>MAX(
    (MONTH(B129)=11)*0.15,
    (MONTH(B129)=3)*0.1,
    (OR(C129="Т-003",C129="Т-009",C129="Т-018"))*0.12,
    (F129&gt;=3)*0.08,
    (VLOOKUP(C129,ТаблицаТовары[[ID товара]:[Категория]],3,FALSE)="Одежда")*0.1,
    0
)</f>
        <v>0</v>
      </c>
      <c r="I129" s="19">
        <f t="shared" si="2"/>
        <v>21990</v>
      </c>
      <c r="J129" s="19">
        <f>F129*((G129*(1-H129)) - _xlfn.XLOOKUP(C129,ТаблицаТовары[ID товара],ТаблицаТовары[Себестоимость],0))</f>
        <v>7490</v>
      </c>
      <c r="K129" s="27">
        <f t="shared" si="3"/>
        <v>0.34060936789449747</v>
      </c>
    </row>
    <row r="130" spans="1:11" x14ac:dyDescent="0.25">
      <c r="A130" s="22" t="s">
        <v>195</v>
      </c>
      <c r="B130" s="15">
        <v>45475</v>
      </c>
      <c r="C130" s="22" t="s">
        <v>26</v>
      </c>
      <c r="D130" s="31" t="str">
        <f>_xlfn.XLOOKUP(C130, ТаблицаТовары[ID товара], ТаблицаТовары[Название])</f>
        <v>Футболка хлопковая</v>
      </c>
      <c r="E130" s="17" t="str">
        <f>_xlfn.XLOOKUP(C130,ТаблицаТовары[ID товара],ТаблицаТовары[Категория])</f>
        <v>Одежда</v>
      </c>
      <c r="F130" s="29">
        <v>1</v>
      </c>
      <c r="G130" s="19">
        <f>_xlfn.XLOOKUP(C130, ТаблицаТовары[ID товара], ТаблицаТовары[Цена], "Цена не найдена")</f>
        <v>990</v>
      </c>
      <c r="H130" s="25">
        <f>MAX(
    (MONTH(B130)=11)*0.15,
    (MONTH(B130)=3)*0.1,
    (OR(C130="Т-003",C130="Т-009",C130="Т-018"))*0.12,
    (F130&gt;=3)*0.08,
    (VLOOKUP(C130,ТаблицаТовары[[ID товара]:[Категория]],3,FALSE)="Одежда")*0.1,
    0
)</f>
        <v>0.12</v>
      </c>
      <c r="I130" s="19">
        <f t="shared" si="2"/>
        <v>871.2</v>
      </c>
      <c r="J130" s="19">
        <f>F130*((G130*(1-H130)) - _xlfn.XLOOKUP(C130,ТаблицаТовары[ID товара],ТаблицаТовары[Себестоимость],0))</f>
        <v>521.20000000000005</v>
      </c>
      <c r="K130" s="27">
        <f t="shared" si="3"/>
        <v>0.59825528007346196</v>
      </c>
    </row>
    <row r="131" spans="1:11" x14ac:dyDescent="0.25">
      <c r="A131" s="22" t="s">
        <v>196</v>
      </c>
      <c r="B131" s="15">
        <v>45415</v>
      </c>
      <c r="C131" s="22" t="s">
        <v>13</v>
      </c>
      <c r="D131" s="31" t="str">
        <f>_xlfn.XLOOKUP(C131, ТаблицаТовары[ID товара], ТаблицаТовары[Название])</f>
        <v>Куртка зимняя North Face</v>
      </c>
      <c r="E131" s="17" t="str">
        <f>_xlfn.XLOOKUP(C131,ТаблицаТовары[ID товара],ТаблицаТовары[Категория])</f>
        <v>Одежда</v>
      </c>
      <c r="F131" s="29">
        <v>3</v>
      </c>
      <c r="G131" s="19">
        <f>_xlfn.XLOOKUP(C131, ТаблицаТовары[ID товара], ТаблицаТовары[Цена], "Цена не найдена")</f>
        <v>12990</v>
      </c>
      <c r="H131" s="25">
        <f>MAX(
    (MONTH(B131)=11)*0.15,
    (MONTH(B131)=3)*0.1,
    (OR(C131="Т-003",C131="Т-009",C131="Т-018"))*0.12,
    (F131&gt;=3)*0.08,
    (VLOOKUP(C131,ТаблицаТовары[[ID товара]:[Категория]],3,FALSE)="Одежда")*0.1,
    0
)</f>
        <v>0.1</v>
      </c>
      <c r="I131" s="19">
        <f t="shared" ref="I131:I194" si="4">F131*G131*(1-H131)</f>
        <v>35073</v>
      </c>
      <c r="J131" s="19">
        <f>F131*((G131*(1-H131)) - _xlfn.XLOOKUP(C131,ТаблицаТовары[ID товара],ТаблицаТовары[Себестоимость],0))</f>
        <v>12573</v>
      </c>
      <c r="K131" s="27">
        <f t="shared" ref="K131:K194" si="5">IFERROR(J131/I131, 0)</f>
        <v>0.35848088273030537</v>
      </c>
    </row>
    <row r="132" spans="1:11" x14ac:dyDescent="0.25">
      <c r="A132" s="22" t="s">
        <v>197</v>
      </c>
      <c r="B132" s="15">
        <v>45612</v>
      </c>
      <c r="C132" s="22" t="s">
        <v>35</v>
      </c>
      <c r="D132" s="31" t="str">
        <f>_xlfn.XLOOKUP(C132, ТаблицаТовары[ID товара], ТаблицаТовары[Название])</f>
        <v>Умные часы Apple Watch</v>
      </c>
      <c r="E132" s="17" t="str">
        <f>_xlfn.XLOOKUP(C132,ТаблицаТовары[ID товара],ТаблицаТовары[Категория])</f>
        <v>Электроника</v>
      </c>
      <c r="F132" s="29">
        <v>3</v>
      </c>
      <c r="G132" s="19">
        <f>_xlfn.XLOOKUP(C132, ТаблицаТовары[ID товара], ТаблицаТовары[Цена], "Цена не найдена")</f>
        <v>39990</v>
      </c>
      <c r="H132" s="25">
        <f>MAX(
    (MONTH(B132)=11)*0.15,
    (MONTH(B132)=3)*0.1,
    (OR(C132="Т-003",C132="Т-009",C132="Т-018"))*0.12,
    (F132&gt;=3)*0.08,
    (VLOOKUP(C132,ТаблицаТовары[[ID товара]:[Категория]],3,FALSE)="Одежда")*0.1,
    0
)</f>
        <v>0.15</v>
      </c>
      <c r="I132" s="19">
        <f t="shared" si="4"/>
        <v>101974.5</v>
      </c>
      <c r="J132" s="19">
        <f>F132*((G132*(1-H132)) - _xlfn.XLOOKUP(C132,ТаблицаТовары[ID товара],ТаблицаТовары[Себестоимость],0))</f>
        <v>16474.5</v>
      </c>
      <c r="K132" s="27">
        <f t="shared" si="5"/>
        <v>0.16155509465601695</v>
      </c>
    </row>
    <row r="133" spans="1:11" x14ac:dyDescent="0.25">
      <c r="A133" s="22" t="s">
        <v>198</v>
      </c>
      <c r="B133" s="15">
        <v>45435</v>
      </c>
      <c r="C133" s="22" t="s">
        <v>16</v>
      </c>
      <c r="D133" s="31" t="str">
        <f>_xlfn.XLOOKUP(C133, ТаблицаТовары[ID товара], ТаблицаТовары[Название])</f>
        <v>Кофемашина DeLonghi</v>
      </c>
      <c r="E133" s="17" t="str">
        <f>_xlfn.XLOOKUP(C133,ТаблицаТовары[ID товара],ТаблицаТовары[Категория])</f>
        <v>Для дома</v>
      </c>
      <c r="F133" s="29">
        <v>3</v>
      </c>
      <c r="G133" s="19">
        <f>_xlfn.XLOOKUP(C133, ТаблицаТовары[ID товара], ТаблицаТовары[Цена], "Цена не найдена")</f>
        <v>45990</v>
      </c>
      <c r="H133" s="25">
        <f>MAX(
    (MONTH(B133)=11)*0.15,
    (MONTH(B133)=3)*0.1,
    (OR(C133="Т-003",C133="Т-009",C133="Т-018"))*0.12,
    (F133&gt;=3)*0.08,
    (VLOOKUP(C133,ТаблицаТовары[[ID товара]:[Категория]],3,FALSE)="Одежда")*0.1,
    0
)</f>
        <v>0.08</v>
      </c>
      <c r="I133" s="19">
        <f t="shared" si="4"/>
        <v>126932.40000000001</v>
      </c>
      <c r="J133" s="19">
        <f>F133*((G133*(1-H133)) - _xlfn.XLOOKUP(C133,ТаблицаТовары[ID товара],ТаблицаТовары[Себестоимость],0))</f>
        <v>29732.400000000009</v>
      </c>
      <c r="K133" s="27">
        <f t="shared" si="5"/>
        <v>0.23423806687654222</v>
      </c>
    </row>
    <row r="134" spans="1:11" x14ac:dyDescent="0.25">
      <c r="A134" s="22" t="s">
        <v>199</v>
      </c>
      <c r="B134" s="15">
        <v>45634</v>
      </c>
      <c r="C134" s="22" t="s">
        <v>32</v>
      </c>
      <c r="D134" s="31" t="str">
        <f>_xlfn.XLOOKUP(C134, ТаблицаТовары[ID товара], ТаблицаТовары[Название])</f>
        <v>Рюкзак туристический</v>
      </c>
      <c r="E134" s="17" t="str">
        <f>_xlfn.XLOOKUP(C134,ТаблицаТовары[ID товара],ТаблицаТовары[Категория])</f>
        <v>Аксессуары</v>
      </c>
      <c r="F134" s="29">
        <v>3</v>
      </c>
      <c r="G134" s="19">
        <f>_xlfn.XLOOKUP(C134, ТаблицаТовары[ID товара], ТаблицаТовары[Цена], "Цена не найдена")</f>
        <v>3490</v>
      </c>
      <c r="H134" s="25">
        <f>MAX(
    (MONTH(B134)=11)*0.15,
    (MONTH(B134)=3)*0.1,
    (OR(C134="Т-003",C134="Т-009",C134="Т-018"))*0.12,
    (F134&gt;=3)*0.08,
    (VLOOKUP(C134,ТаблицаТовары[[ID товара]:[Категория]],3,FALSE)="Одежда")*0.1,
    0
)</f>
        <v>0.08</v>
      </c>
      <c r="I134" s="19">
        <f t="shared" si="4"/>
        <v>9632.4</v>
      </c>
      <c r="J134" s="19">
        <f>F134*((G134*(1-H134)) - _xlfn.XLOOKUP(C134,ТаблицаТовары[ID товара],ТаблицаТовары[Себестоимость],0))</f>
        <v>4232.4000000000005</v>
      </c>
      <c r="K134" s="27">
        <f t="shared" si="5"/>
        <v>0.43939205182509039</v>
      </c>
    </row>
    <row r="135" spans="1:11" x14ac:dyDescent="0.25">
      <c r="A135" s="22" t="s">
        <v>200</v>
      </c>
      <c r="B135" s="15">
        <v>45461</v>
      </c>
      <c r="C135" s="22" t="s">
        <v>26</v>
      </c>
      <c r="D135" s="31" t="str">
        <f>_xlfn.XLOOKUP(C135, ТаблицаТовары[ID товара], ТаблицаТовары[Название])</f>
        <v>Футболка хлопковая</v>
      </c>
      <c r="E135" s="17" t="str">
        <f>_xlfn.XLOOKUP(C135,ТаблицаТовары[ID товара],ТаблицаТовары[Категория])</f>
        <v>Одежда</v>
      </c>
      <c r="F135" s="29">
        <v>2</v>
      </c>
      <c r="G135" s="19">
        <f>_xlfn.XLOOKUP(C135, ТаблицаТовары[ID товара], ТаблицаТовары[Цена], "Цена не найдена")</f>
        <v>990</v>
      </c>
      <c r="H135" s="25">
        <f>MAX(
    (MONTH(B135)=11)*0.15,
    (MONTH(B135)=3)*0.1,
    (OR(C135="Т-003",C135="Т-009",C135="Т-018"))*0.12,
    (F135&gt;=3)*0.08,
    (VLOOKUP(C135,ТаблицаТовары[[ID товара]:[Категория]],3,FALSE)="Одежда")*0.1,
    0
)</f>
        <v>0.12</v>
      </c>
      <c r="I135" s="19">
        <f t="shared" si="4"/>
        <v>1742.4</v>
      </c>
      <c r="J135" s="19">
        <f>F135*((G135*(1-H135)) - _xlfn.XLOOKUP(C135,ТаблицаТовары[ID товара],ТаблицаТовары[Себестоимость],0))</f>
        <v>1042.4000000000001</v>
      </c>
      <c r="K135" s="27">
        <f t="shared" si="5"/>
        <v>0.59825528007346196</v>
      </c>
    </row>
    <row r="136" spans="1:11" x14ac:dyDescent="0.25">
      <c r="A136" s="22" t="s">
        <v>201</v>
      </c>
      <c r="B136" s="15">
        <v>45333</v>
      </c>
      <c r="C136" s="22" t="s">
        <v>24</v>
      </c>
      <c r="D136" s="31" t="str">
        <f>_xlfn.XLOOKUP(C136, ТаблицаТовары[ID товара], ТаблицаТовары[Название])</f>
        <v>Чайник стеклянный</v>
      </c>
      <c r="E136" s="17" t="str">
        <f>_xlfn.XLOOKUP(C136,ТаблицаТовары[ID товара],ТаблицаТовары[Категория])</f>
        <v>Для дома</v>
      </c>
      <c r="F136" s="29">
        <v>2</v>
      </c>
      <c r="G136" s="19">
        <f>_xlfn.XLOOKUP(C136, ТаблицаТовары[ID товара], ТаблицаТовары[Цена], "Цена не найдена")</f>
        <v>2490</v>
      </c>
      <c r="H136" s="25">
        <f>MAX(
    (MONTH(B136)=11)*0.15,
    (MONTH(B136)=3)*0.1,
    (OR(C136="Т-003",C136="Т-009",C136="Т-018"))*0.12,
    (F136&gt;=3)*0.08,
    (VLOOKUP(C136,ТаблицаТовары[[ID товара]:[Категория]],3,FALSE)="Одежда")*0.1,
    0
)</f>
        <v>0</v>
      </c>
      <c r="I136" s="19">
        <f t="shared" si="4"/>
        <v>4980</v>
      </c>
      <c r="J136" s="19">
        <f>F136*((G136*(1-H136)) - _xlfn.XLOOKUP(C136,ТаблицаТовары[ID товара],ТаблицаТовары[Себестоимость],0))</f>
        <v>2580</v>
      </c>
      <c r="K136" s="27">
        <f t="shared" si="5"/>
        <v>0.51807228915662651</v>
      </c>
    </row>
    <row r="137" spans="1:11" x14ac:dyDescent="0.25">
      <c r="A137" s="22" t="s">
        <v>202</v>
      </c>
      <c r="B137" s="15">
        <v>45380</v>
      </c>
      <c r="C137" s="22" t="s">
        <v>41</v>
      </c>
      <c r="D137" s="31" t="str">
        <f>_xlfn.XLOOKUP(C137, ТаблицаТовары[ID товара], ТаблицаТовары[Название])</f>
        <v>Планшет iPad 10.2"</v>
      </c>
      <c r="E137" s="17" t="str">
        <f>_xlfn.XLOOKUP(C137,ТаблицаТовары[ID товара],ТаблицаТовары[Категория])</f>
        <v>Электроника</v>
      </c>
      <c r="F137" s="29">
        <v>3</v>
      </c>
      <c r="G137" s="19">
        <f>_xlfn.XLOOKUP(C137, ТаблицаТовары[ID товара], ТаблицаТовары[Цена], "Цена не найдена")</f>
        <v>44990</v>
      </c>
      <c r="H137" s="25">
        <f>MAX(
    (MONTH(B137)=11)*0.15,
    (MONTH(B137)=3)*0.1,
    (OR(C137="Т-003",C137="Т-009",C137="Т-018"))*0.12,
    (F137&gt;=3)*0.08,
    (VLOOKUP(C137,ТаблицаТовары[[ID товара]:[Категория]],3,FALSE)="Одежда")*0.1,
    0
)</f>
        <v>0.1</v>
      </c>
      <c r="I137" s="19">
        <f t="shared" si="4"/>
        <v>121473</v>
      </c>
      <c r="J137" s="19">
        <f>F137*((G137*(1-H137)) - _xlfn.XLOOKUP(C137,ТаблицаТовары[ID товара],ТаблицаТовары[Себестоимость],0))</f>
        <v>23973</v>
      </c>
      <c r="K137" s="27">
        <f t="shared" si="5"/>
        <v>0.19735249808599442</v>
      </c>
    </row>
    <row r="138" spans="1:11" x14ac:dyDescent="0.25">
      <c r="A138" s="22" t="s">
        <v>203</v>
      </c>
      <c r="B138" s="15">
        <v>45580</v>
      </c>
      <c r="C138" s="22" t="s">
        <v>24</v>
      </c>
      <c r="D138" s="31" t="str">
        <f>_xlfn.XLOOKUP(C138, ТаблицаТовары[ID товара], ТаблицаТовары[Название])</f>
        <v>Чайник стеклянный</v>
      </c>
      <c r="E138" s="17" t="str">
        <f>_xlfn.XLOOKUP(C138,ТаблицаТовары[ID товара],ТаблицаТовары[Категория])</f>
        <v>Для дома</v>
      </c>
      <c r="F138" s="29">
        <v>2</v>
      </c>
      <c r="G138" s="19">
        <f>_xlfn.XLOOKUP(C138, ТаблицаТовары[ID товара], ТаблицаТовары[Цена], "Цена не найдена")</f>
        <v>2490</v>
      </c>
      <c r="H138" s="25">
        <f>MAX(
    (MONTH(B138)=11)*0.15,
    (MONTH(B138)=3)*0.1,
    (OR(C138="Т-003",C138="Т-009",C138="Т-018"))*0.12,
    (F138&gt;=3)*0.08,
    (VLOOKUP(C138,ТаблицаТовары[[ID товара]:[Категория]],3,FALSE)="Одежда")*0.1,
    0
)</f>
        <v>0</v>
      </c>
      <c r="I138" s="19">
        <f t="shared" si="4"/>
        <v>4980</v>
      </c>
      <c r="J138" s="19">
        <f>F138*((G138*(1-H138)) - _xlfn.XLOOKUP(C138,ТаблицаТовары[ID товара],ТаблицаТовары[Себестоимость],0))</f>
        <v>2580</v>
      </c>
      <c r="K138" s="27">
        <f t="shared" si="5"/>
        <v>0.51807228915662651</v>
      </c>
    </row>
    <row r="139" spans="1:11" x14ac:dyDescent="0.25">
      <c r="A139" s="22" t="s">
        <v>204</v>
      </c>
      <c r="B139" s="15">
        <v>45373</v>
      </c>
      <c r="C139" s="22" t="s">
        <v>10</v>
      </c>
      <c r="D139" s="31" t="str">
        <f>_xlfn.XLOOKUP(C139, ТаблицаТовары[ID товара], ТаблицаТовары[Название])</f>
        <v>Книга "Мастерство продаж"</v>
      </c>
      <c r="E139" s="17" t="str">
        <f>_xlfn.XLOOKUP(C139,ТаблицаТовары[ID товара],ТаблицаТовары[Категория])</f>
        <v>Книги</v>
      </c>
      <c r="F139" s="29">
        <v>1</v>
      </c>
      <c r="G139" s="19">
        <f>_xlfn.XLOOKUP(C139, ТаблицаТовары[ID товара], ТаблицаТовары[Цена], "Цена не найдена")</f>
        <v>890</v>
      </c>
      <c r="H139" s="25">
        <f>MAX(
    (MONTH(B139)=11)*0.15,
    (MONTH(B139)=3)*0.1,
    (OR(C139="Т-003",C139="Т-009",C139="Т-018"))*0.12,
    (F139&gt;=3)*0.08,
    (VLOOKUP(C139,ТаблицаТовары[[ID товара]:[Категория]],3,FALSE)="Одежда")*0.1,
    0
)</f>
        <v>0.12</v>
      </c>
      <c r="I139" s="19">
        <f t="shared" si="4"/>
        <v>783.2</v>
      </c>
      <c r="J139" s="19">
        <f>F139*((G139*(1-H139)) - _xlfn.XLOOKUP(C139,ТаблицаТовары[ID товара],ТаблицаТовары[Себестоимость],0))</f>
        <v>333.20000000000005</v>
      </c>
      <c r="K139" s="27">
        <f t="shared" si="5"/>
        <v>0.42543411644535245</v>
      </c>
    </row>
    <row r="140" spans="1:11" x14ac:dyDescent="0.25">
      <c r="A140" s="22" t="s">
        <v>205</v>
      </c>
      <c r="B140" s="15">
        <v>45645</v>
      </c>
      <c r="C140" s="22" t="s">
        <v>37</v>
      </c>
      <c r="D140" s="31" t="str">
        <f>_xlfn.XLOOKUP(C140, ТаблицаТовары[ID товара], ТаблицаТовары[Название])</f>
        <v>Набор посуды 12 предметов</v>
      </c>
      <c r="E140" s="17" t="str">
        <f>_xlfn.XLOOKUP(C140,ТаблицаТовары[ID товара],ТаблицаТовары[Категория])</f>
        <v>Для дома</v>
      </c>
      <c r="F140" s="29">
        <v>3</v>
      </c>
      <c r="G140" s="19">
        <f>_xlfn.XLOOKUP(C140, ТаблицаТовары[ID товара], ТаблицаТовары[Цена], "Цена не найдена")</f>
        <v>14990</v>
      </c>
      <c r="H140" s="25">
        <f>MAX(
    (MONTH(B140)=11)*0.15,
    (MONTH(B140)=3)*0.1,
    (OR(C140="Т-003",C140="Т-009",C140="Т-018"))*0.12,
    (F140&gt;=3)*0.08,
    (VLOOKUP(C140,ТаблицаТовары[[ID товара]:[Категория]],3,FALSE)="Одежда")*0.1,
    0
)</f>
        <v>0.08</v>
      </c>
      <c r="I140" s="19">
        <f t="shared" si="4"/>
        <v>41372.400000000001</v>
      </c>
      <c r="J140" s="19">
        <f>F140*((G140*(1-H140)) - _xlfn.XLOOKUP(C140,ТаблицаТовары[ID товара],ТаблицаТовары[Себестоимость],0))</f>
        <v>15572.400000000003</v>
      </c>
      <c r="K140" s="27">
        <f t="shared" si="5"/>
        <v>0.37639585810830417</v>
      </c>
    </row>
    <row r="141" spans="1:11" x14ac:dyDescent="0.25">
      <c r="A141" s="22" t="s">
        <v>206</v>
      </c>
      <c r="B141" s="15">
        <v>45322</v>
      </c>
      <c r="C141" s="22" t="s">
        <v>24</v>
      </c>
      <c r="D141" s="31" t="str">
        <f>_xlfn.XLOOKUP(C141, ТаблицаТовары[ID товара], ТаблицаТовары[Название])</f>
        <v>Чайник стеклянный</v>
      </c>
      <c r="E141" s="17" t="str">
        <f>_xlfn.XLOOKUP(C141,ТаблицаТовары[ID товара],ТаблицаТовары[Категория])</f>
        <v>Для дома</v>
      </c>
      <c r="F141" s="29">
        <v>1</v>
      </c>
      <c r="G141" s="19">
        <f>_xlfn.XLOOKUP(C141, ТаблицаТовары[ID товара], ТаблицаТовары[Цена], "Цена не найдена")</f>
        <v>2490</v>
      </c>
      <c r="H141" s="25">
        <f>MAX(
    (MONTH(B141)=11)*0.15,
    (MONTH(B141)=3)*0.1,
    (OR(C141="Т-003",C141="Т-009",C141="Т-018"))*0.12,
    (F141&gt;=3)*0.08,
    (VLOOKUP(C141,ТаблицаТовары[[ID товара]:[Категория]],3,FALSE)="Одежда")*0.1,
    0
)</f>
        <v>0</v>
      </c>
      <c r="I141" s="19">
        <f t="shared" si="4"/>
        <v>2490</v>
      </c>
      <c r="J141" s="19">
        <f>F141*((G141*(1-H141)) - _xlfn.XLOOKUP(C141,ТаблицаТовары[ID товара],ТаблицаТовары[Себестоимость],0))</f>
        <v>1290</v>
      </c>
      <c r="K141" s="27">
        <f t="shared" si="5"/>
        <v>0.51807228915662651</v>
      </c>
    </row>
    <row r="142" spans="1:11" x14ac:dyDescent="0.25">
      <c r="A142" s="22" t="s">
        <v>207</v>
      </c>
      <c r="B142" s="15">
        <v>45307</v>
      </c>
      <c r="C142" s="22" t="s">
        <v>24</v>
      </c>
      <c r="D142" s="31" t="str">
        <f>_xlfn.XLOOKUP(C142, ТаблицаТовары[ID товара], ТаблицаТовары[Название])</f>
        <v>Чайник стеклянный</v>
      </c>
      <c r="E142" s="17" t="str">
        <f>_xlfn.XLOOKUP(C142,ТаблицаТовары[ID товара],ТаблицаТовары[Категория])</f>
        <v>Для дома</v>
      </c>
      <c r="F142" s="29">
        <v>2</v>
      </c>
      <c r="G142" s="19">
        <f>_xlfn.XLOOKUP(C142, ТаблицаТовары[ID товара], ТаблицаТовары[Цена], "Цена не найдена")</f>
        <v>2490</v>
      </c>
      <c r="H142" s="25">
        <f>MAX(
    (MONTH(B142)=11)*0.15,
    (MONTH(B142)=3)*0.1,
    (OR(C142="Т-003",C142="Т-009",C142="Т-018"))*0.12,
    (F142&gt;=3)*0.08,
    (VLOOKUP(C142,ТаблицаТовары[[ID товара]:[Категория]],3,FALSE)="Одежда")*0.1,
    0
)</f>
        <v>0</v>
      </c>
      <c r="I142" s="19">
        <f t="shared" si="4"/>
        <v>4980</v>
      </c>
      <c r="J142" s="19">
        <f>F142*((G142*(1-H142)) - _xlfn.XLOOKUP(C142,ТаблицаТовары[ID товара],ТаблицаТовары[Себестоимость],0))</f>
        <v>2580</v>
      </c>
      <c r="K142" s="27">
        <f t="shared" si="5"/>
        <v>0.51807228915662651</v>
      </c>
    </row>
    <row r="143" spans="1:11" x14ac:dyDescent="0.25">
      <c r="A143" s="22" t="s">
        <v>208</v>
      </c>
      <c r="B143" s="15">
        <v>45566</v>
      </c>
      <c r="C143" s="22" t="s">
        <v>35</v>
      </c>
      <c r="D143" s="31" t="str">
        <f>_xlfn.XLOOKUP(C143, ТаблицаТовары[ID товара], ТаблицаТовары[Название])</f>
        <v>Умные часы Apple Watch</v>
      </c>
      <c r="E143" s="17" t="str">
        <f>_xlfn.XLOOKUP(C143,ТаблицаТовары[ID товара],ТаблицаТовары[Категория])</f>
        <v>Электроника</v>
      </c>
      <c r="F143" s="29">
        <v>1</v>
      </c>
      <c r="G143" s="19">
        <f>_xlfn.XLOOKUP(C143, ТаблицаТовары[ID товара], ТаблицаТовары[Цена], "Цена не найдена")</f>
        <v>39990</v>
      </c>
      <c r="H143" s="25">
        <f>MAX(
    (MONTH(B143)=11)*0.15,
    (MONTH(B143)=3)*0.1,
    (OR(C143="Т-003",C143="Т-009",C143="Т-018"))*0.12,
    (F143&gt;=3)*0.08,
    (VLOOKUP(C143,ТаблицаТовары[[ID товара]:[Категория]],3,FALSE)="Одежда")*0.1,
    0
)</f>
        <v>0</v>
      </c>
      <c r="I143" s="19">
        <f t="shared" si="4"/>
        <v>39990</v>
      </c>
      <c r="J143" s="19">
        <f>F143*((G143*(1-H143)) - _xlfn.XLOOKUP(C143,ТаблицаТовары[ID товара],ТаблицаТовары[Себестоимость],0))</f>
        <v>11490</v>
      </c>
      <c r="K143" s="27">
        <f t="shared" si="5"/>
        <v>0.28732183045761439</v>
      </c>
    </row>
    <row r="144" spans="1:11" x14ac:dyDescent="0.25">
      <c r="A144" s="22" t="s">
        <v>209</v>
      </c>
      <c r="B144" s="15">
        <v>45565</v>
      </c>
      <c r="C144" s="22" t="s">
        <v>30</v>
      </c>
      <c r="D144" s="31" t="str">
        <f>_xlfn.XLOOKUP(C144, ТаблицаТовары[ID товара], ТаблицаТовары[Название])</f>
        <v>Кресло офисное</v>
      </c>
      <c r="E144" s="17" t="str">
        <f>_xlfn.XLOOKUP(C144,ТаблицаТовары[ID товара],ТаблицаТовары[Категория])</f>
        <v>Для дома</v>
      </c>
      <c r="F144" s="29">
        <v>1</v>
      </c>
      <c r="G144" s="19">
        <f>_xlfn.XLOOKUP(C144, ТаблицаТовары[ID товара], ТаблицаТовары[Цена], "Цена не найдена")</f>
        <v>21990</v>
      </c>
      <c r="H144" s="25">
        <f>MAX(
    (MONTH(B144)=11)*0.15,
    (MONTH(B144)=3)*0.1,
    (OR(C144="Т-003",C144="Т-009",C144="Т-018"))*0.12,
    (F144&gt;=3)*0.08,
    (VLOOKUP(C144,ТаблицаТовары[[ID товара]:[Категория]],3,FALSE)="Одежда")*0.1,
    0
)</f>
        <v>0</v>
      </c>
      <c r="I144" s="19">
        <f t="shared" si="4"/>
        <v>21990</v>
      </c>
      <c r="J144" s="19">
        <f>F144*((G144*(1-H144)) - _xlfn.XLOOKUP(C144,ТаблицаТовары[ID товара],ТаблицаТовары[Себестоимость],0))</f>
        <v>7490</v>
      </c>
      <c r="K144" s="27">
        <f t="shared" si="5"/>
        <v>0.34060936789449747</v>
      </c>
    </row>
    <row r="145" spans="1:11" x14ac:dyDescent="0.25">
      <c r="A145" s="22" t="s">
        <v>210</v>
      </c>
      <c r="B145" s="15">
        <v>45335</v>
      </c>
      <c r="C145" s="22" t="s">
        <v>8</v>
      </c>
      <c r="D145" s="31" t="str">
        <f>_xlfn.XLOOKUP(C145, ТаблицаТовары[ID товара], ТаблицаТовары[Название])</f>
        <v>Наушники Sony WH-1000XM5</v>
      </c>
      <c r="E145" s="17" t="str">
        <f>_xlfn.XLOOKUP(C145,ТаблицаТовары[ID товара],ТаблицаТовары[Категория])</f>
        <v>Электроника</v>
      </c>
      <c r="F145" s="29">
        <v>1</v>
      </c>
      <c r="G145" s="19">
        <f>_xlfn.XLOOKUP(C145, ТаблицаТовары[ID товара], ТаблицаТовары[Цена], "Цена не найдена")</f>
        <v>26990</v>
      </c>
      <c r="H145" s="25">
        <f>MAX(
    (MONTH(B145)=11)*0.15,
    (MONTH(B145)=3)*0.1,
    (OR(C145="Т-003",C145="Т-009",C145="Т-018"))*0.12,
    (F145&gt;=3)*0.08,
    (VLOOKUP(C145,ТаблицаТовары[[ID товара]:[Категория]],3,FALSE)="Одежда")*0.1,
    0
)</f>
        <v>0</v>
      </c>
      <c r="I145" s="19">
        <f t="shared" si="4"/>
        <v>26990</v>
      </c>
      <c r="J145" s="19">
        <f>F145*((G145*(1-H145)) - _xlfn.XLOOKUP(C145,ТаблицаТовары[ID товара],ТаблицаТовары[Себестоимость],0))</f>
        <v>8090</v>
      </c>
      <c r="K145" s="27">
        <f t="shared" si="5"/>
        <v>0.29974064468321598</v>
      </c>
    </row>
    <row r="146" spans="1:11" x14ac:dyDescent="0.25">
      <c r="A146" s="22" t="s">
        <v>211</v>
      </c>
      <c r="B146" s="15">
        <v>45596</v>
      </c>
      <c r="C146" s="22" t="s">
        <v>10</v>
      </c>
      <c r="D146" s="31" t="str">
        <f>_xlfn.XLOOKUP(C146, ТаблицаТовары[ID товара], ТаблицаТовары[Название])</f>
        <v>Книга "Мастерство продаж"</v>
      </c>
      <c r="E146" s="17" t="str">
        <f>_xlfn.XLOOKUP(C146,ТаблицаТовары[ID товара],ТаблицаТовары[Категория])</f>
        <v>Книги</v>
      </c>
      <c r="F146" s="29">
        <v>1</v>
      </c>
      <c r="G146" s="19">
        <f>_xlfn.XLOOKUP(C146, ТаблицаТовары[ID товара], ТаблицаТовары[Цена], "Цена не найдена")</f>
        <v>890</v>
      </c>
      <c r="H146" s="25">
        <f>MAX(
    (MONTH(B146)=11)*0.15,
    (MONTH(B146)=3)*0.1,
    (OR(C146="Т-003",C146="Т-009",C146="Т-018"))*0.12,
    (F146&gt;=3)*0.08,
    (VLOOKUP(C146,ТаблицаТовары[[ID товара]:[Категория]],3,FALSE)="Одежда")*0.1,
    0
)</f>
        <v>0.12</v>
      </c>
      <c r="I146" s="19">
        <f t="shared" si="4"/>
        <v>783.2</v>
      </c>
      <c r="J146" s="19">
        <f>F146*((G146*(1-H146)) - _xlfn.XLOOKUP(C146,ТаблицаТовары[ID товара],ТаблицаТовары[Себестоимость],0))</f>
        <v>333.20000000000005</v>
      </c>
      <c r="K146" s="27">
        <f t="shared" si="5"/>
        <v>0.42543411644535245</v>
      </c>
    </row>
    <row r="147" spans="1:11" x14ac:dyDescent="0.25">
      <c r="A147" s="22" t="s">
        <v>212</v>
      </c>
      <c r="B147" s="15">
        <v>45419</v>
      </c>
      <c r="C147" s="22" t="s">
        <v>43</v>
      </c>
      <c r="D147" s="31" t="str">
        <f>_xlfn.XLOOKUP(C147, ТаблицаТовары[ID товара], ТаблицаТовары[Название])</f>
        <v>Беговая дорожка</v>
      </c>
      <c r="E147" s="17" t="str">
        <f>_xlfn.XLOOKUP(C147,ТаблицаТовары[ID товара],ТаблицаТовары[Категория])</f>
        <v>Спорт</v>
      </c>
      <c r="F147" s="29">
        <v>3</v>
      </c>
      <c r="G147" s="19">
        <f>_xlfn.XLOOKUP(C147, ТаблицаТовары[ID товара], ТаблицаТовары[Цена], "Цена не найдена")</f>
        <v>79990</v>
      </c>
      <c r="H147" s="25">
        <f>MAX(
    (MONTH(B147)=11)*0.15,
    (MONTH(B147)=3)*0.1,
    (OR(C147="Т-003",C147="Т-009",C147="Т-018"))*0.12,
    (F147&gt;=3)*0.08,
    (VLOOKUP(C147,ТаблицаТовары[[ID товара]:[Категория]],3,FALSE)="Одежда")*0.1,
    0
)</f>
        <v>0.08</v>
      </c>
      <c r="I147" s="19">
        <f t="shared" si="4"/>
        <v>220772.40000000002</v>
      </c>
      <c r="J147" s="19">
        <f>F147*((G147*(1-H147)) - _xlfn.XLOOKUP(C147,ТаблицаТовары[ID товара],ТаблицаТовары[Себестоимость],0))</f>
        <v>44072.400000000009</v>
      </c>
      <c r="K147" s="27">
        <f t="shared" si="5"/>
        <v>0.19962821439636477</v>
      </c>
    </row>
    <row r="148" spans="1:11" x14ac:dyDescent="0.25">
      <c r="A148" s="22" t="s">
        <v>213</v>
      </c>
      <c r="B148" s="15">
        <v>45641</v>
      </c>
      <c r="C148" s="22" t="s">
        <v>37</v>
      </c>
      <c r="D148" s="31" t="str">
        <f>_xlfn.XLOOKUP(C148, ТаблицаТовары[ID товара], ТаблицаТовары[Название])</f>
        <v>Набор посуды 12 предметов</v>
      </c>
      <c r="E148" s="17" t="str">
        <f>_xlfn.XLOOKUP(C148,ТаблицаТовары[ID товара],ТаблицаТовары[Категория])</f>
        <v>Для дома</v>
      </c>
      <c r="F148" s="29">
        <v>1</v>
      </c>
      <c r="G148" s="19">
        <f>_xlfn.XLOOKUP(C148, ТаблицаТовары[ID товара], ТаблицаТовары[Цена], "Цена не найдена")</f>
        <v>14990</v>
      </c>
      <c r="H148" s="25">
        <f>MAX(
    (MONTH(B148)=11)*0.15,
    (MONTH(B148)=3)*0.1,
    (OR(C148="Т-003",C148="Т-009",C148="Т-018"))*0.12,
    (F148&gt;=3)*0.08,
    (VLOOKUP(C148,ТаблицаТовары[[ID товара]:[Категория]],3,FALSE)="Одежда")*0.1,
    0
)</f>
        <v>0</v>
      </c>
      <c r="I148" s="19">
        <f t="shared" si="4"/>
        <v>14990</v>
      </c>
      <c r="J148" s="19">
        <f>F148*((G148*(1-H148)) - _xlfn.XLOOKUP(C148,ТаблицаТовары[ID товара],ТаблицаТовары[Себестоимость],0))</f>
        <v>6390</v>
      </c>
      <c r="K148" s="27">
        <f t="shared" si="5"/>
        <v>0.42628418945963975</v>
      </c>
    </row>
    <row r="149" spans="1:11" x14ac:dyDescent="0.25">
      <c r="A149" s="22" t="s">
        <v>214</v>
      </c>
      <c r="B149" s="15">
        <v>45383</v>
      </c>
      <c r="C149" s="22" t="s">
        <v>50</v>
      </c>
      <c r="D149" s="31" t="str">
        <f>_xlfn.XLOOKUP(C149, ТаблицаТовары[ID товара], ТаблицаТовары[Название])</f>
        <v>Йогуртница</v>
      </c>
      <c r="E149" s="17" t="str">
        <f>_xlfn.XLOOKUP(C149,ТаблицаТовары[ID товара],ТаблицаТовары[Категория])</f>
        <v>Для дома</v>
      </c>
      <c r="F149" s="29">
        <v>1</v>
      </c>
      <c r="G149" s="19">
        <f>_xlfn.XLOOKUP(C149, ТаблицаТовары[ID товара], ТаблицаТовары[Цена], "Цена не найдена")</f>
        <v>4990</v>
      </c>
      <c r="H149" s="25">
        <f>MAX(
    (MONTH(B149)=11)*0.15,
    (MONTH(B149)=3)*0.1,
    (OR(C149="Т-003",C149="Т-009",C149="Т-018"))*0.12,
    (F149&gt;=3)*0.08,
    (VLOOKUP(C149,ТаблицаТовары[[ID товара]:[Категория]],3,FALSE)="Одежда")*0.1,
    0
)</f>
        <v>0</v>
      </c>
      <c r="I149" s="19">
        <f t="shared" si="4"/>
        <v>4990</v>
      </c>
      <c r="J149" s="19">
        <f>F149*((G149*(1-H149)) - _xlfn.XLOOKUP(C149,ТаблицаТовары[ID товара],ТаблицаТовары[Себестоимость],0))</f>
        <v>1790</v>
      </c>
      <c r="K149" s="27">
        <f t="shared" si="5"/>
        <v>0.3587174348697395</v>
      </c>
    </row>
    <row r="150" spans="1:11" x14ac:dyDescent="0.25">
      <c r="A150" s="22" t="s">
        <v>215</v>
      </c>
      <c r="B150" s="15">
        <v>45493</v>
      </c>
      <c r="C150" s="22" t="s">
        <v>28</v>
      </c>
      <c r="D150" s="31" t="str">
        <f>_xlfn.XLOOKUP(C150, ТаблицаТовары[ID товара], ТаблицаТовары[Название])</f>
        <v>Монитор 24" Samsung</v>
      </c>
      <c r="E150" s="17" t="str">
        <f>_xlfn.XLOOKUP(C150,ТаблицаТовары[ID товара],ТаблицаТовары[Категория])</f>
        <v>Электроника</v>
      </c>
      <c r="F150" s="29">
        <v>3</v>
      </c>
      <c r="G150" s="19">
        <f>_xlfn.XLOOKUP(C150, ТаблицаТовары[ID товара], ТаблицаТовары[Цена], "Цена не найдена")</f>
        <v>18990</v>
      </c>
      <c r="H150" s="25">
        <f>MAX(
    (MONTH(B150)=11)*0.15,
    (MONTH(B150)=3)*0.1,
    (OR(C150="Т-003",C150="Т-009",C150="Т-018"))*0.12,
    (F150&gt;=3)*0.08,
    (VLOOKUP(C150,ТаблицаТовары[[ID товара]:[Категория]],3,FALSE)="Одежда")*0.1,
    0
)</f>
        <v>0.08</v>
      </c>
      <c r="I150" s="19">
        <f t="shared" si="4"/>
        <v>52412.4</v>
      </c>
      <c r="J150" s="19">
        <f>F150*((G150*(1-H150)) - _xlfn.XLOOKUP(C150,ТаблицаТовары[ID товара],ТаблицаТовары[Себестоимость],0))</f>
        <v>12812.399999999998</v>
      </c>
      <c r="K150" s="27">
        <f t="shared" si="5"/>
        <v>0.24445360258259491</v>
      </c>
    </row>
    <row r="151" spans="1:11" x14ac:dyDescent="0.25">
      <c r="A151" s="22" t="s">
        <v>216</v>
      </c>
      <c r="B151" s="15">
        <v>45355</v>
      </c>
      <c r="C151" s="22" t="s">
        <v>48</v>
      </c>
      <c r="D151" s="31" t="str">
        <f>_xlfn.XLOOKUP(C151, ТаблицаТовары[ID товара], ТаблицаТовары[Название])</f>
        <v>Микрофон для стримов</v>
      </c>
      <c r="E151" s="17" t="str">
        <f>_xlfn.XLOOKUP(C151,ТаблицаТовары[ID товара],ТаблицаТовары[Категория])</f>
        <v>Электроника</v>
      </c>
      <c r="F151" s="29">
        <v>2</v>
      </c>
      <c r="G151" s="19">
        <f>_xlfn.XLOOKUP(C151, ТаблицаТовары[ID товара], ТаблицаТовары[Цена], "Цена не найдена")</f>
        <v>12990</v>
      </c>
      <c r="H151" s="25">
        <f>MAX(
    (MONTH(B151)=11)*0.15,
    (MONTH(B151)=3)*0.1,
    (OR(C151="Т-003",C151="Т-009",C151="Т-018"))*0.12,
    (F151&gt;=3)*0.08,
    (VLOOKUP(C151,ТаблицаТовары[[ID товара]:[Категория]],3,FALSE)="Одежда")*0.1,
    0
)</f>
        <v>0.1</v>
      </c>
      <c r="I151" s="19">
        <f t="shared" si="4"/>
        <v>23382</v>
      </c>
      <c r="J151" s="19">
        <f>F151*((G151*(1-H151)) - _xlfn.XLOOKUP(C151,ТаблицаТовары[ID товара],ТаблицаТовары[Себестоимость],0))</f>
        <v>5582</v>
      </c>
      <c r="K151" s="27">
        <f t="shared" si="5"/>
        <v>0.23873064750662903</v>
      </c>
    </row>
    <row r="152" spans="1:11" x14ac:dyDescent="0.25">
      <c r="A152" s="22" t="s">
        <v>217</v>
      </c>
      <c r="B152" s="15">
        <v>45630</v>
      </c>
      <c r="C152" s="22" t="s">
        <v>35</v>
      </c>
      <c r="D152" s="31" t="str">
        <f>_xlfn.XLOOKUP(C152, ТаблицаТовары[ID товара], ТаблицаТовары[Название])</f>
        <v>Умные часы Apple Watch</v>
      </c>
      <c r="E152" s="17" t="str">
        <f>_xlfn.XLOOKUP(C152,ТаблицаТовары[ID товара],ТаблицаТовары[Категория])</f>
        <v>Электроника</v>
      </c>
      <c r="F152" s="29">
        <v>3</v>
      </c>
      <c r="G152" s="19">
        <f>_xlfn.XLOOKUP(C152, ТаблицаТовары[ID товара], ТаблицаТовары[Цена], "Цена не найдена")</f>
        <v>39990</v>
      </c>
      <c r="H152" s="25">
        <f>MAX(
    (MONTH(B152)=11)*0.15,
    (MONTH(B152)=3)*0.1,
    (OR(C152="Т-003",C152="Т-009",C152="Т-018"))*0.12,
    (F152&gt;=3)*0.08,
    (VLOOKUP(C152,ТаблицаТовары[[ID товара]:[Категория]],3,FALSE)="Одежда")*0.1,
    0
)</f>
        <v>0.08</v>
      </c>
      <c r="I152" s="19">
        <f t="shared" si="4"/>
        <v>110372.40000000001</v>
      </c>
      <c r="J152" s="19">
        <f>F152*((G152*(1-H152)) - _xlfn.XLOOKUP(C152,ТаблицаТовары[ID товара],ТаблицаТовары[Себестоимость],0))</f>
        <v>24872.400000000009</v>
      </c>
      <c r="K152" s="27">
        <f t="shared" si="5"/>
        <v>0.22534981571479831</v>
      </c>
    </row>
    <row r="153" spans="1:11" x14ac:dyDescent="0.25">
      <c r="A153" s="22" t="s">
        <v>218</v>
      </c>
      <c r="B153" s="15">
        <v>45642</v>
      </c>
      <c r="C153" s="22" t="s">
        <v>48</v>
      </c>
      <c r="D153" s="31" t="str">
        <f>_xlfn.XLOOKUP(C153, ТаблицаТовары[ID товара], ТаблицаТовары[Название])</f>
        <v>Микрофон для стримов</v>
      </c>
      <c r="E153" s="17" t="str">
        <f>_xlfn.XLOOKUP(C153,ТаблицаТовары[ID товара],ТаблицаТовары[Категория])</f>
        <v>Электроника</v>
      </c>
      <c r="F153" s="29">
        <v>2</v>
      </c>
      <c r="G153" s="19">
        <f>_xlfn.XLOOKUP(C153, ТаблицаТовары[ID товара], ТаблицаТовары[Цена], "Цена не найдена")</f>
        <v>12990</v>
      </c>
      <c r="H153" s="25">
        <f>MAX(
    (MONTH(B153)=11)*0.15,
    (MONTH(B153)=3)*0.1,
    (OR(C153="Т-003",C153="Т-009",C153="Т-018"))*0.12,
    (F153&gt;=3)*0.08,
    (VLOOKUP(C153,ТаблицаТовары[[ID товара]:[Категория]],3,FALSE)="Одежда")*0.1,
    0
)</f>
        <v>0</v>
      </c>
      <c r="I153" s="19">
        <f t="shared" si="4"/>
        <v>25980</v>
      </c>
      <c r="J153" s="19">
        <f>F153*((G153*(1-H153)) - _xlfn.XLOOKUP(C153,ТаблицаТовары[ID товара],ТаблицаТовары[Себестоимость],0))</f>
        <v>8180</v>
      </c>
      <c r="K153" s="27">
        <f t="shared" si="5"/>
        <v>0.31485758275596615</v>
      </c>
    </row>
    <row r="154" spans="1:11" x14ac:dyDescent="0.25">
      <c r="A154" s="22" t="s">
        <v>219</v>
      </c>
      <c r="B154" s="15">
        <v>45515</v>
      </c>
      <c r="C154" s="22" t="s">
        <v>5</v>
      </c>
      <c r="D154" s="31" t="str">
        <f>_xlfn.XLOOKUP(C154, ТаблицаТовары[ID товара], ТаблицаТовары[Название])</f>
        <v>Смартфон Galaxy A54</v>
      </c>
      <c r="E154" s="17" t="str">
        <f>_xlfn.XLOOKUP(C154,ТаблицаТовары[ID товара],ТаблицаТовары[Категория])</f>
        <v>Электроника</v>
      </c>
      <c r="F154" s="29">
        <v>2</v>
      </c>
      <c r="G154" s="19">
        <f>_xlfn.XLOOKUP(C154, ТаблицаТовары[ID товара], ТаблицаТовары[Цена], "Цена не найдена")</f>
        <v>29990</v>
      </c>
      <c r="H154" s="25">
        <f>MAX(
    (MONTH(B154)=11)*0.15,
    (MONTH(B154)=3)*0.1,
    (OR(C154="Т-003",C154="Т-009",C154="Т-018"))*0.12,
    (F154&gt;=3)*0.08,
    (VLOOKUP(C154,ТаблицаТовары[[ID товара]:[Категория]],3,FALSE)="Одежда")*0.1,
    0
)</f>
        <v>0</v>
      </c>
      <c r="I154" s="19">
        <f t="shared" si="4"/>
        <v>59980</v>
      </c>
      <c r="J154" s="19">
        <f>F154*((G154*(1-H154)) - _xlfn.XLOOKUP(C154,ТаблицаТовары[ID товара],ТаблицаТовары[Себестоимость],0))</f>
        <v>16980</v>
      </c>
      <c r="K154" s="27">
        <f t="shared" si="5"/>
        <v>0.28309436478826278</v>
      </c>
    </row>
    <row r="155" spans="1:11" x14ac:dyDescent="0.25">
      <c r="A155" s="22" t="s">
        <v>220</v>
      </c>
      <c r="B155" s="15">
        <v>45294</v>
      </c>
      <c r="C155" s="22" t="s">
        <v>13</v>
      </c>
      <c r="D155" s="31" t="str">
        <f>_xlfn.XLOOKUP(C155, ТаблицаТовары[ID товара], ТаблицаТовары[Название])</f>
        <v>Куртка зимняя North Face</v>
      </c>
      <c r="E155" s="17" t="str">
        <f>_xlfn.XLOOKUP(C155,ТаблицаТовары[ID товара],ТаблицаТовары[Категория])</f>
        <v>Одежда</v>
      </c>
      <c r="F155" s="29">
        <v>1</v>
      </c>
      <c r="G155" s="19">
        <f>_xlfn.XLOOKUP(C155, ТаблицаТовары[ID товара], ТаблицаТовары[Цена], "Цена не найдена")</f>
        <v>12990</v>
      </c>
      <c r="H155" s="25">
        <f>MAX(
    (MONTH(B155)=11)*0.15,
    (MONTH(B155)=3)*0.1,
    (OR(C155="Т-003",C155="Т-009",C155="Т-018"))*0.12,
    (F155&gt;=3)*0.08,
    (VLOOKUP(C155,ТаблицаТовары[[ID товара]:[Категория]],3,FALSE)="Одежда")*0.1,
    0
)</f>
        <v>0.1</v>
      </c>
      <c r="I155" s="19">
        <f t="shared" si="4"/>
        <v>11691</v>
      </c>
      <c r="J155" s="19">
        <f>F155*((G155*(1-H155)) - _xlfn.XLOOKUP(C155,ТаблицаТовары[ID товара],ТаблицаТовары[Себестоимость],0))</f>
        <v>4191</v>
      </c>
      <c r="K155" s="27">
        <f t="shared" si="5"/>
        <v>0.35848088273030537</v>
      </c>
    </row>
    <row r="156" spans="1:11" x14ac:dyDescent="0.25">
      <c r="A156" s="22" t="s">
        <v>221</v>
      </c>
      <c r="B156" s="15">
        <v>45586</v>
      </c>
      <c r="C156" s="22" t="s">
        <v>41</v>
      </c>
      <c r="D156" s="31" t="str">
        <f>_xlfn.XLOOKUP(C156, ТаблицаТовары[ID товара], ТаблицаТовары[Название])</f>
        <v>Планшет iPad 10.2"</v>
      </c>
      <c r="E156" s="17" t="str">
        <f>_xlfn.XLOOKUP(C156,ТаблицаТовары[ID товара],ТаблицаТовары[Категория])</f>
        <v>Электроника</v>
      </c>
      <c r="F156" s="29">
        <v>2</v>
      </c>
      <c r="G156" s="19">
        <f>_xlfn.XLOOKUP(C156, ТаблицаТовары[ID товара], ТаблицаТовары[Цена], "Цена не найдена")</f>
        <v>44990</v>
      </c>
      <c r="H156" s="25">
        <f>MAX(
    (MONTH(B156)=11)*0.15,
    (MONTH(B156)=3)*0.1,
    (OR(C156="Т-003",C156="Т-009",C156="Т-018"))*0.12,
    (F156&gt;=3)*0.08,
    (VLOOKUP(C156,ТаблицаТовары[[ID товара]:[Категория]],3,FALSE)="Одежда")*0.1,
    0
)</f>
        <v>0</v>
      </c>
      <c r="I156" s="19">
        <f t="shared" si="4"/>
        <v>89980</v>
      </c>
      <c r="J156" s="19">
        <f>F156*((G156*(1-H156)) - _xlfn.XLOOKUP(C156,ТаблицаТовары[ID товара],ТаблицаТовары[Себестоимость],0))</f>
        <v>24980</v>
      </c>
      <c r="K156" s="27">
        <f t="shared" si="5"/>
        <v>0.27761724827739498</v>
      </c>
    </row>
    <row r="157" spans="1:11" x14ac:dyDescent="0.25">
      <c r="A157" s="22" t="s">
        <v>222</v>
      </c>
      <c r="B157" s="15">
        <v>45452</v>
      </c>
      <c r="C157" s="22" t="s">
        <v>8</v>
      </c>
      <c r="D157" s="31" t="str">
        <f>_xlfn.XLOOKUP(C157, ТаблицаТовары[ID товара], ТаблицаТовары[Название])</f>
        <v>Наушники Sony WH-1000XM5</v>
      </c>
      <c r="E157" s="17" t="str">
        <f>_xlfn.XLOOKUP(C157,ТаблицаТовары[ID товара],ТаблицаТовары[Категория])</f>
        <v>Электроника</v>
      </c>
      <c r="F157" s="29">
        <v>2</v>
      </c>
      <c r="G157" s="19">
        <f>_xlfn.XLOOKUP(C157, ТаблицаТовары[ID товара], ТаблицаТовары[Цена], "Цена не найдена")</f>
        <v>26990</v>
      </c>
      <c r="H157" s="25">
        <f>MAX(
    (MONTH(B157)=11)*0.15,
    (MONTH(B157)=3)*0.1,
    (OR(C157="Т-003",C157="Т-009",C157="Т-018"))*0.12,
    (F157&gt;=3)*0.08,
    (VLOOKUP(C157,ТаблицаТовары[[ID товара]:[Категория]],3,FALSE)="Одежда")*0.1,
    0
)</f>
        <v>0</v>
      </c>
      <c r="I157" s="19">
        <f t="shared" si="4"/>
        <v>53980</v>
      </c>
      <c r="J157" s="19">
        <f>F157*((G157*(1-H157)) - _xlfn.XLOOKUP(C157,ТаблицаТовары[ID товара],ТаблицаТовары[Себестоимость],0))</f>
        <v>16180</v>
      </c>
      <c r="K157" s="27">
        <f t="shared" si="5"/>
        <v>0.29974064468321598</v>
      </c>
    </row>
    <row r="158" spans="1:11" x14ac:dyDescent="0.25">
      <c r="A158" s="22" t="s">
        <v>223</v>
      </c>
      <c r="B158" s="15">
        <v>45342</v>
      </c>
      <c r="C158" s="22" t="s">
        <v>22</v>
      </c>
      <c r="D158" s="31" t="str">
        <f>_xlfn.XLOOKUP(C158, ТаблицаТовары[ID товара], ТаблицаТовары[Название])</f>
        <v>Ноутбук Lenovo IdeaPad</v>
      </c>
      <c r="E158" s="17" t="str">
        <f>_xlfn.XLOOKUP(C158,ТаблицаТовары[ID товара],ТаблицаТовары[Категория])</f>
        <v>Электроника</v>
      </c>
      <c r="F158" s="29">
        <v>2</v>
      </c>
      <c r="G158" s="19">
        <f>_xlfn.XLOOKUP(C158, ТаблицаТовары[ID товара], ТаблицаТовары[Цена], "Цена не найдена")</f>
        <v>64990</v>
      </c>
      <c r="H158" s="25">
        <f>MAX(
    (MONTH(B158)=11)*0.15,
    (MONTH(B158)=3)*0.1,
    (OR(C158="Т-003",C158="Т-009",C158="Т-018"))*0.12,
    (F158&gt;=3)*0.08,
    (VLOOKUP(C158,ТаблицаТовары[[ID товара]:[Категория]],3,FALSE)="Одежда")*0.1,
    0
)</f>
        <v>0</v>
      </c>
      <c r="I158" s="19">
        <f t="shared" si="4"/>
        <v>129980</v>
      </c>
      <c r="J158" s="19">
        <f>F158*((G158*(1-H158)) - _xlfn.XLOOKUP(C158,ТаблицаТовары[ID товара],ТаблицаТовары[Себестоимость],0))</f>
        <v>34380</v>
      </c>
      <c r="K158" s="27">
        <f t="shared" si="5"/>
        <v>0.26450223111247884</v>
      </c>
    </row>
    <row r="159" spans="1:11" x14ac:dyDescent="0.25">
      <c r="A159" s="22" t="s">
        <v>224</v>
      </c>
      <c r="B159" s="15">
        <v>45350</v>
      </c>
      <c r="C159" s="22" t="s">
        <v>41</v>
      </c>
      <c r="D159" s="31" t="str">
        <f>_xlfn.XLOOKUP(C159, ТаблицаТовары[ID товара], ТаблицаТовары[Название])</f>
        <v>Планшет iPad 10.2"</v>
      </c>
      <c r="E159" s="17" t="str">
        <f>_xlfn.XLOOKUP(C159,ТаблицаТовары[ID товара],ТаблицаТовары[Категория])</f>
        <v>Электроника</v>
      </c>
      <c r="F159" s="29">
        <v>3</v>
      </c>
      <c r="G159" s="19">
        <f>_xlfn.XLOOKUP(C159, ТаблицаТовары[ID товара], ТаблицаТовары[Цена], "Цена не найдена")</f>
        <v>44990</v>
      </c>
      <c r="H159" s="25">
        <f>MAX(
    (MONTH(B159)=11)*0.15,
    (MONTH(B159)=3)*0.1,
    (OR(C159="Т-003",C159="Т-009",C159="Т-018"))*0.12,
    (F159&gt;=3)*0.08,
    (VLOOKUP(C159,ТаблицаТовары[[ID товара]:[Категория]],3,FALSE)="Одежда")*0.1,
    0
)</f>
        <v>0.08</v>
      </c>
      <c r="I159" s="19">
        <f t="shared" si="4"/>
        <v>124172.40000000001</v>
      </c>
      <c r="J159" s="19">
        <f>F159*((G159*(1-H159)) - _xlfn.XLOOKUP(C159,ТаблицаТовары[ID товара],ТаблицаТовары[Себестоимость],0))</f>
        <v>26672.400000000009</v>
      </c>
      <c r="K159" s="27">
        <f t="shared" si="5"/>
        <v>0.21480135682325546</v>
      </c>
    </row>
    <row r="160" spans="1:11" x14ac:dyDescent="0.25">
      <c r="A160" s="22" t="s">
        <v>225</v>
      </c>
      <c r="B160" s="15">
        <v>45546</v>
      </c>
      <c r="C160" s="22" t="s">
        <v>32</v>
      </c>
      <c r="D160" s="31" t="str">
        <f>_xlfn.XLOOKUP(C160, ТаблицаТовары[ID товара], ТаблицаТовары[Название])</f>
        <v>Рюкзак туристический</v>
      </c>
      <c r="E160" s="17" t="str">
        <f>_xlfn.XLOOKUP(C160,ТаблицаТовары[ID товара],ТаблицаТовары[Категория])</f>
        <v>Аксессуары</v>
      </c>
      <c r="F160" s="29">
        <v>3</v>
      </c>
      <c r="G160" s="19">
        <f>_xlfn.XLOOKUP(C160, ТаблицаТовары[ID товара], ТаблицаТовары[Цена], "Цена не найдена")</f>
        <v>3490</v>
      </c>
      <c r="H160" s="25">
        <f>MAX(
    (MONTH(B160)=11)*0.15,
    (MONTH(B160)=3)*0.1,
    (OR(C160="Т-003",C160="Т-009",C160="Т-018"))*0.12,
    (F160&gt;=3)*0.08,
    (VLOOKUP(C160,ТаблицаТовары[[ID товара]:[Категория]],3,FALSE)="Одежда")*0.1,
    0
)</f>
        <v>0.08</v>
      </c>
      <c r="I160" s="19">
        <f t="shared" si="4"/>
        <v>9632.4</v>
      </c>
      <c r="J160" s="19">
        <f>F160*((G160*(1-H160)) - _xlfn.XLOOKUP(C160,ТаблицаТовары[ID товара],ТаблицаТовары[Себестоимость],0))</f>
        <v>4232.4000000000005</v>
      </c>
      <c r="K160" s="27">
        <f t="shared" si="5"/>
        <v>0.43939205182509039</v>
      </c>
    </row>
    <row r="161" spans="1:11" x14ac:dyDescent="0.25">
      <c r="A161" s="22" t="s">
        <v>226</v>
      </c>
      <c r="B161" s="15">
        <v>45636</v>
      </c>
      <c r="C161" s="22" t="s">
        <v>13</v>
      </c>
      <c r="D161" s="31" t="str">
        <f>_xlfn.XLOOKUP(C161, ТаблицаТовары[ID товара], ТаблицаТовары[Название])</f>
        <v>Куртка зимняя North Face</v>
      </c>
      <c r="E161" s="17" t="str">
        <f>_xlfn.XLOOKUP(C161,ТаблицаТовары[ID товара],ТаблицаТовары[Категория])</f>
        <v>Одежда</v>
      </c>
      <c r="F161" s="29">
        <v>3</v>
      </c>
      <c r="G161" s="19">
        <f>_xlfn.XLOOKUP(C161, ТаблицаТовары[ID товара], ТаблицаТовары[Цена], "Цена не найдена")</f>
        <v>12990</v>
      </c>
      <c r="H161" s="25">
        <f>MAX(
    (MONTH(B161)=11)*0.15,
    (MONTH(B161)=3)*0.1,
    (OR(C161="Т-003",C161="Т-009",C161="Т-018"))*0.12,
    (F161&gt;=3)*0.08,
    (VLOOKUP(C161,ТаблицаТовары[[ID товара]:[Категория]],3,FALSE)="Одежда")*0.1,
    0
)</f>
        <v>0.1</v>
      </c>
      <c r="I161" s="19">
        <f t="shared" si="4"/>
        <v>35073</v>
      </c>
      <c r="J161" s="19">
        <f>F161*((G161*(1-H161)) - _xlfn.XLOOKUP(C161,ТаблицаТовары[ID товара],ТаблицаТовары[Себестоимость],0))</f>
        <v>12573</v>
      </c>
      <c r="K161" s="27">
        <f t="shared" si="5"/>
        <v>0.35848088273030537</v>
      </c>
    </row>
    <row r="162" spans="1:11" x14ac:dyDescent="0.25">
      <c r="A162" s="22" t="s">
        <v>227</v>
      </c>
      <c r="B162" s="15">
        <v>45600</v>
      </c>
      <c r="C162" s="22" t="s">
        <v>22</v>
      </c>
      <c r="D162" s="31" t="str">
        <f>_xlfn.XLOOKUP(C162, ТаблицаТовары[ID товара], ТаблицаТовары[Название])</f>
        <v>Ноутбук Lenovo IdeaPad</v>
      </c>
      <c r="E162" s="17" t="str">
        <f>_xlfn.XLOOKUP(C162,ТаблицаТовары[ID товара],ТаблицаТовары[Категория])</f>
        <v>Электроника</v>
      </c>
      <c r="F162" s="29">
        <v>1</v>
      </c>
      <c r="G162" s="19">
        <f>_xlfn.XLOOKUP(C162, ТаблицаТовары[ID товара], ТаблицаТовары[Цена], "Цена не найдена")</f>
        <v>64990</v>
      </c>
      <c r="H162" s="25">
        <f>MAX(
    (MONTH(B162)=11)*0.15,
    (MONTH(B162)=3)*0.1,
    (OR(C162="Т-003",C162="Т-009",C162="Т-018"))*0.12,
    (F162&gt;=3)*0.08,
    (VLOOKUP(C162,ТаблицаТовары[[ID товара]:[Категория]],3,FALSE)="Одежда")*0.1,
    0
)</f>
        <v>0.15</v>
      </c>
      <c r="I162" s="19">
        <f t="shared" si="4"/>
        <v>55241.5</v>
      </c>
      <c r="J162" s="19">
        <f>F162*((G162*(1-H162)) - _xlfn.XLOOKUP(C162,ТаблицаТовары[ID товара],ТаблицаТовары[Себестоимость],0))</f>
        <v>7441.5</v>
      </c>
      <c r="K162" s="27">
        <f t="shared" si="5"/>
        <v>0.13470850719115157</v>
      </c>
    </row>
    <row r="163" spans="1:11" x14ac:dyDescent="0.25">
      <c r="A163" s="22" t="s">
        <v>228</v>
      </c>
      <c r="B163" s="15">
        <v>45320</v>
      </c>
      <c r="C163" s="22" t="s">
        <v>37</v>
      </c>
      <c r="D163" s="31" t="str">
        <f>_xlfn.XLOOKUP(C163, ТаблицаТовары[ID товара], ТаблицаТовары[Название])</f>
        <v>Набор посуды 12 предметов</v>
      </c>
      <c r="E163" s="17" t="str">
        <f>_xlfn.XLOOKUP(C163,ТаблицаТовары[ID товара],ТаблицаТовары[Категория])</f>
        <v>Для дома</v>
      </c>
      <c r="F163" s="29">
        <v>1</v>
      </c>
      <c r="G163" s="19">
        <f>_xlfn.XLOOKUP(C163, ТаблицаТовары[ID товара], ТаблицаТовары[Цена], "Цена не найдена")</f>
        <v>14990</v>
      </c>
      <c r="H163" s="25">
        <f>MAX(
    (MONTH(B163)=11)*0.15,
    (MONTH(B163)=3)*0.1,
    (OR(C163="Т-003",C163="Т-009",C163="Т-018"))*0.12,
    (F163&gt;=3)*0.08,
    (VLOOKUP(C163,ТаблицаТовары[[ID товара]:[Категория]],3,FALSE)="Одежда")*0.1,
    0
)</f>
        <v>0</v>
      </c>
      <c r="I163" s="19">
        <f t="shared" si="4"/>
        <v>14990</v>
      </c>
      <c r="J163" s="19">
        <f>F163*((G163*(1-H163)) - _xlfn.XLOOKUP(C163,ТаблицаТовары[ID товара],ТаблицаТовары[Себестоимость],0))</f>
        <v>6390</v>
      </c>
      <c r="K163" s="27">
        <f t="shared" si="5"/>
        <v>0.42628418945963975</v>
      </c>
    </row>
    <row r="164" spans="1:11" x14ac:dyDescent="0.25">
      <c r="A164" s="22" t="s">
        <v>229</v>
      </c>
      <c r="B164" s="15">
        <v>45540</v>
      </c>
      <c r="C164" s="22" t="s">
        <v>43</v>
      </c>
      <c r="D164" s="31" t="str">
        <f>_xlfn.XLOOKUP(C164, ТаблицаТовары[ID товара], ТаблицаТовары[Название])</f>
        <v>Беговая дорожка</v>
      </c>
      <c r="E164" s="17" t="str">
        <f>_xlfn.XLOOKUP(C164,ТаблицаТовары[ID товара],ТаблицаТовары[Категория])</f>
        <v>Спорт</v>
      </c>
      <c r="F164" s="29">
        <v>1</v>
      </c>
      <c r="G164" s="19">
        <f>_xlfn.XLOOKUP(C164, ТаблицаТовары[ID товара], ТаблицаТовары[Цена], "Цена не найдена")</f>
        <v>79990</v>
      </c>
      <c r="H164" s="25">
        <f>MAX(
    (MONTH(B164)=11)*0.15,
    (MONTH(B164)=3)*0.1,
    (OR(C164="Т-003",C164="Т-009",C164="Т-018"))*0.12,
    (F164&gt;=3)*0.08,
    (VLOOKUP(C164,ТаблицаТовары[[ID товара]:[Категория]],3,FALSE)="Одежда")*0.1,
    0
)</f>
        <v>0</v>
      </c>
      <c r="I164" s="19">
        <f t="shared" si="4"/>
        <v>79990</v>
      </c>
      <c r="J164" s="19">
        <f>F164*((G164*(1-H164)) - _xlfn.XLOOKUP(C164,ТаблицаТовары[ID товара],ТаблицаТовары[Себестоимость],0))</f>
        <v>21090</v>
      </c>
      <c r="K164" s="27">
        <f t="shared" si="5"/>
        <v>0.26365795724465557</v>
      </c>
    </row>
    <row r="165" spans="1:11" x14ac:dyDescent="0.25">
      <c r="A165" s="22" t="s">
        <v>230</v>
      </c>
      <c r="B165" s="15">
        <v>45616</v>
      </c>
      <c r="C165" s="22" t="s">
        <v>41</v>
      </c>
      <c r="D165" s="31" t="str">
        <f>_xlfn.XLOOKUP(C165, ТаблицаТовары[ID товара], ТаблицаТовары[Название])</f>
        <v>Планшет iPad 10.2"</v>
      </c>
      <c r="E165" s="17" t="str">
        <f>_xlfn.XLOOKUP(C165,ТаблицаТовары[ID товара],ТаблицаТовары[Категория])</f>
        <v>Электроника</v>
      </c>
      <c r="F165" s="29">
        <v>1</v>
      </c>
      <c r="G165" s="19">
        <f>_xlfn.XLOOKUP(C165, ТаблицаТовары[ID товара], ТаблицаТовары[Цена], "Цена не найдена")</f>
        <v>44990</v>
      </c>
      <c r="H165" s="25">
        <f>MAX(
    (MONTH(B165)=11)*0.15,
    (MONTH(B165)=3)*0.1,
    (OR(C165="Т-003",C165="Т-009",C165="Т-018"))*0.12,
    (F165&gt;=3)*0.08,
    (VLOOKUP(C165,ТаблицаТовары[[ID товара]:[Категория]],3,FALSE)="Одежда")*0.1,
    0
)</f>
        <v>0.15</v>
      </c>
      <c r="I165" s="19">
        <f t="shared" si="4"/>
        <v>38241.5</v>
      </c>
      <c r="J165" s="19">
        <f>F165*((G165*(1-H165)) - _xlfn.XLOOKUP(C165,ТаблицаТовары[ID товара],ТаблицаТовары[Себестоимость],0))</f>
        <v>5741.5</v>
      </c>
      <c r="K165" s="27">
        <f t="shared" si="5"/>
        <v>0.15013793914987644</v>
      </c>
    </row>
    <row r="166" spans="1:11" x14ac:dyDescent="0.25">
      <c r="A166" s="22" t="s">
        <v>231</v>
      </c>
      <c r="B166" s="15">
        <v>45320</v>
      </c>
      <c r="C166" s="22" t="s">
        <v>28</v>
      </c>
      <c r="D166" s="31" t="str">
        <f>_xlfn.XLOOKUP(C166, ТаблицаТовары[ID товара], ТаблицаТовары[Название])</f>
        <v>Монитор 24" Samsung</v>
      </c>
      <c r="E166" s="17" t="str">
        <f>_xlfn.XLOOKUP(C166,ТаблицаТовары[ID товара],ТаблицаТовары[Категория])</f>
        <v>Электроника</v>
      </c>
      <c r="F166" s="29">
        <v>1</v>
      </c>
      <c r="G166" s="19">
        <f>_xlfn.XLOOKUP(C166, ТаблицаТовары[ID товара], ТаблицаТовары[Цена], "Цена не найдена")</f>
        <v>18990</v>
      </c>
      <c r="H166" s="25">
        <f>MAX(
    (MONTH(B166)=11)*0.15,
    (MONTH(B166)=3)*0.1,
    (OR(C166="Т-003",C166="Т-009",C166="Т-018"))*0.12,
    (F166&gt;=3)*0.08,
    (VLOOKUP(C166,ТаблицаТовары[[ID товара]:[Категория]],3,FALSE)="Одежда")*0.1,
    0
)</f>
        <v>0</v>
      </c>
      <c r="I166" s="19">
        <f t="shared" si="4"/>
        <v>18990</v>
      </c>
      <c r="J166" s="19">
        <f>F166*((G166*(1-H166)) - _xlfn.XLOOKUP(C166,ТаблицаТовары[ID товара],ТаблицаТовары[Себестоимость],0))</f>
        <v>5790</v>
      </c>
      <c r="K166" s="27">
        <f t="shared" si="5"/>
        <v>0.30489731437598738</v>
      </c>
    </row>
    <row r="167" spans="1:11" x14ac:dyDescent="0.25">
      <c r="A167" s="22" t="s">
        <v>232</v>
      </c>
      <c r="B167" s="15">
        <v>45618</v>
      </c>
      <c r="C167" s="22" t="s">
        <v>50</v>
      </c>
      <c r="D167" s="31" t="str">
        <f>_xlfn.XLOOKUP(C167, ТаблицаТовары[ID товара], ТаблицаТовары[Название])</f>
        <v>Йогуртница</v>
      </c>
      <c r="E167" s="17" t="str">
        <f>_xlfn.XLOOKUP(C167,ТаблицаТовары[ID товара],ТаблицаТовары[Категория])</f>
        <v>Для дома</v>
      </c>
      <c r="F167" s="29">
        <v>2</v>
      </c>
      <c r="G167" s="19">
        <f>_xlfn.XLOOKUP(C167, ТаблицаТовары[ID товара], ТаблицаТовары[Цена], "Цена не найдена")</f>
        <v>4990</v>
      </c>
      <c r="H167" s="25">
        <f>MAX(
    (MONTH(B167)=11)*0.15,
    (MONTH(B167)=3)*0.1,
    (OR(C167="Т-003",C167="Т-009",C167="Т-018"))*0.12,
    (F167&gt;=3)*0.08,
    (VLOOKUP(C167,ТаблицаТовары[[ID товара]:[Категория]],3,FALSE)="Одежда")*0.1,
    0
)</f>
        <v>0.15</v>
      </c>
      <c r="I167" s="19">
        <f t="shared" si="4"/>
        <v>8483</v>
      </c>
      <c r="J167" s="19">
        <f>F167*((G167*(1-H167)) - _xlfn.XLOOKUP(C167,ТаблицаТовары[ID товара],ТаблицаТовары[Себестоимость],0))</f>
        <v>2083</v>
      </c>
      <c r="K167" s="27">
        <f t="shared" si="5"/>
        <v>0.2455499233761641</v>
      </c>
    </row>
    <row r="168" spans="1:11" x14ac:dyDescent="0.25">
      <c r="A168" s="22" t="s">
        <v>233</v>
      </c>
      <c r="B168" s="15">
        <v>45312</v>
      </c>
      <c r="C168" s="22" t="s">
        <v>16</v>
      </c>
      <c r="D168" s="31" t="str">
        <f>_xlfn.XLOOKUP(C168, ТаблицаТовары[ID товара], ТаблицаТовары[Название])</f>
        <v>Кофемашина DeLonghi</v>
      </c>
      <c r="E168" s="17" t="str">
        <f>_xlfn.XLOOKUP(C168,ТаблицаТовары[ID товара],ТаблицаТовары[Категория])</f>
        <v>Для дома</v>
      </c>
      <c r="F168" s="29">
        <v>1</v>
      </c>
      <c r="G168" s="19">
        <f>_xlfn.XLOOKUP(C168, ТаблицаТовары[ID товара], ТаблицаТовары[Цена], "Цена не найдена")</f>
        <v>45990</v>
      </c>
      <c r="H168" s="25">
        <f>MAX(
    (MONTH(B168)=11)*0.15,
    (MONTH(B168)=3)*0.1,
    (OR(C168="Т-003",C168="Т-009",C168="Т-018"))*0.12,
    (F168&gt;=3)*0.08,
    (VLOOKUP(C168,ТаблицаТовары[[ID товара]:[Категория]],3,FALSE)="Одежда")*0.1,
    0
)</f>
        <v>0</v>
      </c>
      <c r="I168" s="19">
        <f t="shared" si="4"/>
        <v>45990</v>
      </c>
      <c r="J168" s="19">
        <f>F168*((G168*(1-H168)) - _xlfn.XLOOKUP(C168,ТаблицаТовары[ID товара],ТаблицаТовары[Себестоимость],0))</f>
        <v>13590</v>
      </c>
      <c r="K168" s="27">
        <f t="shared" si="5"/>
        <v>0.29549902152641877</v>
      </c>
    </row>
    <row r="169" spans="1:11" x14ac:dyDescent="0.25">
      <c r="A169" s="22" t="s">
        <v>234</v>
      </c>
      <c r="B169" s="15">
        <v>45644</v>
      </c>
      <c r="C169" s="22" t="s">
        <v>48</v>
      </c>
      <c r="D169" s="31" t="str">
        <f>_xlfn.XLOOKUP(C169, ТаблицаТовары[ID товара], ТаблицаТовары[Название])</f>
        <v>Микрофон для стримов</v>
      </c>
      <c r="E169" s="17" t="str">
        <f>_xlfn.XLOOKUP(C169,ТаблицаТовары[ID товара],ТаблицаТовары[Категория])</f>
        <v>Электроника</v>
      </c>
      <c r="F169" s="29">
        <v>2</v>
      </c>
      <c r="G169" s="19">
        <f>_xlfn.XLOOKUP(C169, ТаблицаТовары[ID товара], ТаблицаТовары[Цена], "Цена не найдена")</f>
        <v>12990</v>
      </c>
      <c r="H169" s="25">
        <f>MAX(
    (MONTH(B169)=11)*0.15,
    (MONTH(B169)=3)*0.1,
    (OR(C169="Т-003",C169="Т-009",C169="Т-018"))*0.12,
    (F169&gt;=3)*0.08,
    (VLOOKUP(C169,ТаблицаТовары[[ID товара]:[Категория]],3,FALSE)="Одежда")*0.1,
    0
)</f>
        <v>0</v>
      </c>
      <c r="I169" s="19">
        <f t="shared" si="4"/>
        <v>25980</v>
      </c>
      <c r="J169" s="19">
        <f>F169*((G169*(1-H169)) - _xlfn.XLOOKUP(C169,ТаблицаТовары[ID товара],ТаблицаТовары[Себестоимость],0))</f>
        <v>8180</v>
      </c>
      <c r="K169" s="27">
        <f t="shared" si="5"/>
        <v>0.31485758275596615</v>
      </c>
    </row>
    <row r="170" spans="1:11" x14ac:dyDescent="0.25">
      <c r="A170" s="22" t="s">
        <v>235</v>
      </c>
      <c r="B170" s="15">
        <v>45488</v>
      </c>
      <c r="C170" s="22" t="s">
        <v>37</v>
      </c>
      <c r="D170" s="31" t="str">
        <f>_xlfn.XLOOKUP(C170, ТаблицаТовары[ID товара], ТаблицаТовары[Название])</f>
        <v>Набор посуды 12 предметов</v>
      </c>
      <c r="E170" s="17" t="str">
        <f>_xlfn.XLOOKUP(C170,ТаблицаТовары[ID товара],ТаблицаТовары[Категория])</f>
        <v>Для дома</v>
      </c>
      <c r="F170" s="29">
        <v>3</v>
      </c>
      <c r="G170" s="19">
        <f>_xlfn.XLOOKUP(C170, ТаблицаТовары[ID товара], ТаблицаТовары[Цена], "Цена не найдена")</f>
        <v>14990</v>
      </c>
      <c r="H170" s="25">
        <f>MAX(
    (MONTH(B170)=11)*0.15,
    (MONTH(B170)=3)*0.1,
    (OR(C170="Т-003",C170="Т-009",C170="Т-018"))*0.12,
    (F170&gt;=3)*0.08,
    (VLOOKUP(C170,ТаблицаТовары[[ID товара]:[Категория]],3,FALSE)="Одежда")*0.1,
    0
)</f>
        <v>0.08</v>
      </c>
      <c r="I170" s="19">
        <f t="shared" si="4"/>
        <v>41372.400000000001</v>
      </c>
      <c r="J170" s="19">
        <f>F170*((G170*(1-H170)) - _xlfn.XLOOKUP(C170,ТаблицаТовары[ID товара],ТаблицаТовары[Себестоимость],0))</f>
        <v>15572.400000000003</v>
      </c>
      <c r="K170" s="27">
        <f t="shared" si="5"/>
        <v>0.37639585810830417</v>
      </c>
    </row>
    <row r="171" spans="1:11" x14ac:dyDescent="0.25">
      <c r="A171" s="22" t="s">
        <v>236</v>
      </c>
      <c r="B171" s="15">
        <v>45480</v>
      </c>
      <c r="C171" s="22" t="s">
        <v>22</v>
      </c>
      <c r="D171" s="31" t="str">
        <f>_xlfn.XLOOKUP(C171, ТаблицаТовары[ID товара], ТаблицаТовары[Название])</f>
        <v>Ноутбук Lenovo IdeaPad</v>
      </c>
      <c r="E171" s="17" t="str">
        <f>_xlfn.XLOOKUP(C171,ТаблицаТовары[ID товара],ТаблицаТовары[Категория])</f>
        <v>Электроника</v>
      </c>
      <c r="F171" s="29">
        <v>1</v>
      </c>
      <c r="G171" s="19">
        <f>_xlfn.XLOOKUP(C171, ТаблицаТовары[ID товара], ТаблицаТовары[Цена], "Цена не найдена")</f>
        <v>64990</v>
      </c>
      <c r="H171" s="25">
        <f>MAX(
    (MONTH(B171)=11)*0.15,
    (MONTH(B171)=3)*0.1,
    (OR(C171="Т-003",C171="Т-009",C171="Т-018"))*0.12,
    (F171&gt;=3)*0.08,
    (VLOOKUP(C171,ТаблицаТовары[[ID товара]:[Категория]],3,FALSE)="Одежда")*0.1,
    0
)</f>
        <v>0</v>
      </c>
      <c r="I171" s="19">
        <f t="shared" si="4"/>
        <v>64990</v>
      </c>
      <c r="J171" s="19">
        <f>F171*((G171*(1-H171)) - _xlfn.XLOOKUP(C171,ТаблицаТовары[ID товара],ТаблицаТовары[Себестоимость],0))</f>
        <v>17190</v>
      </c>
      <c r="K171" s="27">
        <f t="shared" si="5"/>
        <v>0.26450223111247884</v>
      </c>
    </row>
    <row r="172" spans="1:11" x14ac:dyDescent="0.25">
      <c r="A172" s="22" t="s">
        <v>237</v>
      </c>
      <c r="B172" s="15">
        <v>45544</v>
      </c>
      <c r="C172" s="22" t="s">
        <v>19</v>
      </c>
      <c r="D172" s="31" t="str">
        <f>_xlfn.XLOOKUP(C172, ТаблицаТовары[ID товара], ТаблицаТовары[Название])</f>
        <v>Кроссовки Nike Air Max</v>
      </c>
      <c r="E172" s="17" t="str">
        <f>_xlfn.XLOOKUP(C172,ТаблицаТовары[ID товара],ТаблицаТовары[Категория])</f>
        <v>Обувь</v>
      </c>
      <c r="F172" s="29">
        <v>1</v>
      </c>
      <c r="G172" s="19">
        <f>_xlfn.XLOOKUP(C172, ТаблицаТовары[ID товара], ТаблицаТовары[Цена], "Цена не найдена")</f>
        <v>8990</v>
      </c>
      <c r="H172" s="25">
        <f>MAX(
    (MONTH(B172)=11)*0.15,
    (MONTH(B172)=3)*0.1,
    (OR(C172="Т-003",C172="Т-009",C172="Т-018"))*0.12,
    (F172&gt;=3)*0.08,
    (VLOOKUP(C172,ТаблицаТовары[[ID товара]:[Категория]],3,FALSE)="Одежда")*0.1,
    0
)</f>
        <v>0</v>
      </c>
      <c r="I172" s="19">
        <f t="shared" si="4"/>
        <v>8990</v>
      </c>
      <c r="J172" s="19">
        <f>F172*((G172*(1-H172)) - _xlfn.XLOOKUP(C172,ТаблицаТовары[ID товара],ТаблицаТовары[Себестоимость],0))</f>
        <v>3790</v>
      </c>
      <c r="K172" s="27">
        <f t="shared" si="5"/>
        <v>0.42157953281423804</v>
      </c>
    </row>
    <row r="173" spans="1:11" x14ac:dyDescent="0.25">
      <c r="A173" s="22" t="s">
        <v>238</v>
      </c>
      <c r="B173" s="15">
        <v>45357</v>
      </c>
      <c r="C173" s="22" t="s">
        <v>8</v>
      </c>
      <c r="D173" s="31" t="str">
        <f>_xlfn.XLOOKUP(C173, ТаблицаТовары[ID товара], ТаблицаТовары[Название])</f>
        <v>Наушники Sony WH-1000XM5</v>
      </c>
      <c r="E173" s="17" t="str">
        <f>_xlfn.XLOOKUP(C173,ТаблицаТовары[ID товара],ТаблицаТовары[Категория])</f>
        <v>Электроника</v>
      </c>
      <c r="F173" s="29">
        <v>2</v>
      </c>
      <c r="G173" s="19">
        <f>_xlfn.XLOOKUP(C173, ТаблицаТовары[ID товара], ТаблицаТовары[Цена], "Цена не найдена")</f>
        <v>26990</v>
      </c>
      <c r="H173" s="25">
        <f>MAX(
    (MONTH(B173)=11)*0.15,
    (MONTH(B173)=3)*0.1,
    (OR(C173="Т-003",C173="Т-009",C173="Т-018"))*0.12,
    (F173&gt;=3)*0.08,
    (VLOOKUP(C173,ТаблицаТовары[[ID товара]:[Категория]],3,FALSE)="Одежда")*0.1,
    0
)</f>
        <v>0.1</v>
      </c>
      <c r="I173" s="19">
        <f t="shared" si="4"/>
        <v>48582</v>
      </c>
      <c r="J173" s="19">
        <f>F173*((G173*(1-H173)) - _xlfn.XLOOKUP(C173,ТаблицаТовары[ID товара],ТаблицаТовары[Себестоимость],0))</f>
        <v>10782</v>
      </c>
      <c r="K173" s="27">
        <f t="shared" si="5"/>
        <v>0.22193404964801777</v>
      </c>
    </row>
    <row r="174" spans="1:11" x14ac:dyDescent="0.25">
      <c r="A174" s="22" t="s">
        <v>239</v>
      </c>
      <c r="B174" s="15">
        <v>45445</v>
      </c>
      <c r="C174" s="22" t="s">
        <v>10</v>
      </c>
      <c r="D174" s="31" t="str">
        <f>_xlfn.XLOOKUP(C174, ТаблицаТовары[ID товара], ТаблицаТовары[Название])</f>
        <v>Книга "Мастерство продаж"</v>
      </c>
      <c r="E174" s="17" t="str">
        <f>_xlfn.XLOOKUP(C174,ТаблицаТовары[ID товара],ТаблицаТовары[Категория])</f>
        <v>Книги</v>
      </c>
      <c r="F174" s="29">
        <v>2</v>
      </c>
      <c r="G174" s="19">
        <f>_xlfn.XLOOKUP(C174, ТаблицаТовары[ID товара], ТаблицаТовары[Цена], "Цена не найдена")</f>
        <v>890</v>
      </c>
      <c r="H174" s="25">
        <f>MAX(
    (MONTH(B174)=11)*0.15,
    (MONTH(B174)=3)*0.1,
    (OR(C174="Т-003",C174="Т-009",C174="Т-018"))*0.12,
    (F174&gt;=3)*0.08,
    (VLOOKUP(C174,ТаблицаТовары[[ID товара]:[Категория]],3,FALSE)="Одежда")*0.1,
    0
)</f>
        <v>0.12</v>
      </c>
      <c r="I174" s="19">
        <f t="shared" si="4"/>
        <v>1566.4</v>
      </c>
      <c r="J174" s="19">
        <f>F174*((G174*(1-H174)) - _xlfn.XLOOKUP(C174,ТаблицаТовары[ID товара],ТаблицаТовары[Себестоимость],0))</f>
        <v>666.40000000000009</v>
      </c>
      <c r="K174" s="27">
        <f t="shared" si="5"/>
        <v>0.42543411644535245</v>
      </c>
    </row>
    <row r="175" spans="1:11" x14ac:dyDescent="0.25">
      <c r="A175" s="22" t="s">
        <v>240</v>
      </c>
      <c r="B175" s="15">
        <v>45413</v>
      </c>
      <c r="C175" s="22" t="s">
        <v>32</v>
      </c>
      <c r="D175" s="31" t="str">
        <f>_xlfn.XLOOKUP(C175, ТаблицаТовары[ID товара], ТаблицаТовары[Название])</f>
        <v>Рюкзак туристический</v>
      </c>
      <c r="E175" s="17" t="str">
        <f>_xlfn.XLOOKUP(C175,ТаблицаТовары[ID товара],ТаблицаТовары[Категория])</f>
        <v>Аксессуары</v>
      </c>
      <c r="F175" s="29">
        <v>2</v>
      </c>
      <c r="G175" s="19">
        <f>_xlfn.XLOOKUP(C175, ТаблицаТовары[ID товара], ТаблицаТовары[Цена], "Цена не найдена")</f>
        <v>3490</v>
      </c>
      <c r="H175" s="25">
        <f>MAX(
    (MONTH(B175)=11)*0.15,
    (MONTH(B175)=3)*0.1,
    (OR(C175="Т-003",C175="Т-009",C175="Т-018"))*0.12,
    (F175&gt;=3)*0.08,
    (VLOOKUP(C175,ТаблицаТовары[[ID товара]:[Категория]],3,FALSE)="Одежда")*0.1,
    0
)</f>
        <v>0</v>
      </c>
      <c r="I175" s="19">
        <f t="shared" si="4"/>
        <v>6980</v>
      </c>
      <c r="J175" s="19">
        <f>F175*((G175*(1-H175)) - _xlfn.XLOOKUP(C175,ТаблицаТовары[ID товара],ТаблицаТовары[Себестоимость],0))</f>
        <v>3380</v>
      </c>
      <c r="K175" s="27">
        <f t="shared" si="5"/>
        <v>0.48424068767908307</v>
      </c>
    </row>
    <row r="176" spans="1:11" x14ac:dyDescent="0.25">
      <c r="A176" s="22" t="s">
        <v>241</v>
      </c>
      <c r="B176" s="15">
        <v>45564</v>
      </c>
      <c r="C176" s="22" t="s">
        <v>10</v>
      </c>
      <c r="D176" s="31" t="str">
        <f>_xlfn.XLOOKUP(C176, ТаблицаТовары[ID товара], ТаблицаТовары[Название])</f>
        <v>Книга "Мастерство продаж"</v>
      </c>
      <c r="E176" s="17" t="str">
        <f>_xlfn.XLOOKUP(C176,ТаблицаТовары[ID товара],ТаблицаТовары[Категория])</f>
        <v>Книги</v>
      </c>
      <c r="F176" s="29">
        <v>2</v>
      </c>
      <c r="G176" s="19">
        <f>_xlfn.XLOOKUP(C176, ТаблицаТовары[ID товара], ТаблицаТовары[Цена], "Цена не найдена")</f>
        <v>890</v>
      </c>
      <c r="H176" s="25">
        <f>MAX(
    (MONTH(B176)=11)*0.15,
    (MONTH(B176)=3)*0.1,
    (OR(C176="Т-003",C176="Т-009",C176="Т-018"))*0.12,
    (F176&gt;=3)*0.08,
    (VLOOKUP(C176,ТаблицаТовары[[ID товара]:[Категория]],3,FALSE)="Одежда")*0.1,
    0
)</f>
        <v>0.12</v>
      </c>
      <c r="I176" s="19">
        <f t="shared" si="4"/>
        <v>1566.4</v>
      </c>
      <c r="J176" s="19">
        <f>F176*((G176*(1-H176)) - _xlfn.XLOOKUP(C176,ТаблицаТовары[ID товара],ТаблицаТовары[Себестоимость],0))</f>
        <v>666.40000000000009</v>
      </c>
      <c r="K176" s="27">
        <f t="shared" si="5"/>
        <v>0.42543411644535245</v>
      </c>
    </row>
    <row r="177" spans="1:11" x14ac:dyDescent="0.25">
      <c r="A177" s="22" t="s">
        <v>242</v>
      </c>
      <c r="B177" s="15">
        <v>45577</v>
      </c>
      <c r="C177" s="22" t="s">
        <v>32</v>
      </c>
      <c r="D177" s="31" t="str">
        <f>_xlfn.XLOOKUP(C177, ТаблицаТовары[ID товара], ТаблицаТовары[Название])</f>
        <v>Рюкзак туристический</v>
      </c>
      <c r="E177" s="17" t="str">
        <f>_xlfn.XLOOKUP(C177,ТаблицаТовары[ID товара],ТаблицаТовары[Категория])</f>
        <v>Аксессуары</v>
      </c>
      <c r="F177" s="29">
        <v>3</v>
      </c>
      <c r="G177" s="19">
        <f>_xlfn.XLOOKUP(C177, ТаблицаТовары[ID товара], ТаблицаТовары[Цена], "Цена не найдена")</f>
        <v>3490</v>
      </c>
      <c r="H177" s="25">
        <f>MAX(
    (MONTH(B177)=11)*0.15,
    (MONTH(B177)=3)*0.1,
    (OR(C177="Т-003",C177="Т-009",C177="Т-018"))*0.12,
    (F177&gt;=3)*0.08,
    (VLOOKUP(C177,ТаблицаТовары[[ID товара]:[Категория]],3,FALSE)="Одежда")*0.1,
    0
)</f>
        <v>0.08</v>
      </c>
      <c r="I177" s="19">
        <f t="shared" si="4"/>
        <v>9632.4</v>
      </c>
      <c r="J177" s="19">
        <f>F177*((G177*(1-H177)) - _xlfn.XLOOKUP(C177,ТаблицаТовары[ID товара],ТаблицаТовары[Себестоимость],0))</f>
        <v>4232.4000000000005</v>
      </c>
      <c r="K177" s="27">
        <f t="shared" si="5"/>
        <v>0.43939205182509039</v>
      </c>
    </row>
    <row r="178" spans="1:11" x14ac:dyDescent="0.25">
      <c r="A178" s="22" t="s">
        <v>243</v>
      </c>
      <c r="B178" s="15">
        <v>45374</v>
      </c>
      <c r="C178" s="22" t="s">
        <v>28</v>
      </c>
      <c r="D178" s="31" t="str">
        <f>_xlfn.XLOOKUP(C178, ТаблицаТовары[ID товара], ТаблицаТовары[Название])</f>
        <v>Монитор 24" Samsung</v>
      </c>
      <c r="E178" s="17" t="str">
        <f>_xlfn.XLOOKUP(C178,ТаблицаТовары[ID товара],ТаблицаТовары[Категория])</f>
        <v>Электроника</v>
      </c>
      <c r="F178" s="29">
        <v>1</v>
      </c>
      <c r="G178" s="19">
        <f>_xlfn.XLOOKUP(C178, ТаблицаТовары[ID товара], ТаблицаТовары[Цена], "Цена не найдена")</f>
        <v>18990</v>
      </c>
      <c r="H178" s="25">
        <f>MAX(
    (MONTH(B178)=11)*0.15,
    (MONTH(B178)=3)*0.1,
    (OR(C178="Т-003",C178="Т-009",C178="Т-018"))*0.12,
    (F178&gt;=3)*0.08,
    (VLOOKUP(C178,ТаблицаТовары[[ID товара]:[Категория]],3,FALSE)="Одежда")*0.1,
    0
)</f>
        <v>0.1</v>
      </c>
      <c r="I178" s="19">
        <f t="shared" si="4"/>
        <v>17091</v>
      </c>
      <c r="J178" s="19">
        <f>F178*((G178*(1-H178)) - _xlfn.XLOOKUP(C178,ТаблицаТовары[ID товара],ТаблицаТовары[Себестоимость],0))</f>
        <v>3891</v>
      </c>
      <c r="K178" s="27">
        <f t="shared" si="5"/>
        <v>0.22766368263998596</v>
      </c>
    </row>
    <row r="179" spans="1:11" x14ac:dyDescent="0.25">
      <c r="A179" s="22" t="s">
        <v>244</v>
      </c>
      <c r="B179" s="15">
        <v>45624</v>
      </c>
      <c r="C179" s="22" t="s">
        <v>19</v>
      </c>
      <c r="D179" s="31" t="str">
        <f>_xlfn.XLOOKUP(C179, ТаблицаТовары[ID товара], ТаблицаТовары[Название])</f>
        <v>Кроссовки Nike Air Max</v>
      </c>
      <c r="E179" s="17" t="str">
        <f>_xlfn.XLOOKUP(C179,ТаблицаТовары[ID товара],ТаблицаТовары[Категория])</f>
        <v>Обувь</v>
      </c>
      <c r="F179" s="29">
        <v>2</v>
      </c>
      <c r="G179" s="19">
        <f>_xlfn.XLOOKUP(C179, ТаблицаТовары[ID товара], ТаблицаТовары[Цена], "Цена не найдена")</f>
        <v>8990</v>
      </c>
      <c r="H179" s="25">
        <f>MAX(
    (MONTH(B179)=11)*0.15,
    (MONTH(B179)=3)*0.1,
    (OR(C179="Т-003",C179="Т-009",C179="Т-018"))*0.12,
    (F179&gt;=3)*0.08,
    (VLOOKUP(C179,ТаблицаТовары[[ID товара]:[Категория]],3,FALSE)="Одежда")*0.1,
    0
)</f>
        <v>0.15</v>
      </c>
      <c r="I179" s="19">
        <f t="shared" si="4"/>
        <v>15283</v>
      </c>
      <c r="J179" s="19">
        <f>F179*((G179*(1-H179)) - _xlfn.XLOOKUP(C179,ТаблицаТовары[ID товара],ТаблицаТовары[Себестоимость],0))</f>
        <v>4883</v>
      </c>
      <c r="K179" s="27">
        <f t="shared" si="5"/>
        <v>0.31950533272263298</v>
      </c>
    </row>
    <row r="180" spans="1:11" x14ac:dyDescent="0.25">
      <c r="A180" s="22" t="s">
        <v>245</v>
      </c>
      <c r="B180" s="15">
        <v>45449</v>
      </c>
      <c r="C180" s="22" t="s">
        <v>35</v>
      </c>
      <c r="D180" s="31" t="str">
        <f>_xlfn.XLOOKUP(C180, ТаблицаТовары[ID товара], ТаблицаТовары[Название])</f>
        <v>Умные часы Apple Watch</v>
      </c>
      <c r="E180" s="17" t="str">
        <f>_xlfn.XLOOKUP(C180,ТаблицаТовары[ID товара],ТаблицаТовары[Категория])</f>
        <v>Электроника</v>
      </c>
      <c r="F180" s="29">
        <v>3</v>
      </c>
      <c r="G180" s="19">
        <f>_xlfn.XLOOKUP(C180, ТаблицаТовары[ID товара], ТаблицаТовары[Цена], "Цена не найдена")</f>
        <v>39990</v>
      </c>
      <c r="H180" s="25">
        <f>MAX(
    (MONTH(B180)=11)*0.15,
    (MONTH(B180)=3)*0.1,
    (OR(C180="Т-003",C180="Т-009",C180="Т-018"))*0.12,
    (F180&gt;=3)*0.08,
    (VLOOKUP(C180,ТаблицаТовары[[ID товара]:[Категория]],3,FALSE)="Одежда")*0.1,
    0
)</f>
        <v>0.08</v>
      </c>
      <c r="I180" s="19">
        <f t="shared" si="4"/>
        <v>110372.40000000001</v>
      </c>
      <c r="J180" s="19">
        <f>F180*((G180*(1-H180)) - _xlfn.XLOOKUP(C180,ТаблицаТовары[ID товара],ТаблицаТовары[Себестоимость],0))</f>
        <v>24872.400000000009</v>
      </c>
      <c r="K180" s="27">
        <f t="shared" si="5"/>
        <v>0.22534981571479831</v>
      </c>
    </row>
    <row r="181" spans="1:11" x14ac:dyDescent="0.25">
      <c r="A181" s="22" t="s">
        <v>246</v>
      </c>
      <c r="B181" s="15">
        <v>45440</v>
      </c>
      <c r="C181" s="22" t="s">
        <v>46</v>
      </c>
      <c r="D181" s="31" t="str">
        <f>_xlfn.XLOOKUP(C181, ТаблицаТовары[ID товара], ТаблицаТовары[Название])</f>
        <v>Сумка кожаная женская</v>
      </c>
      <c r="E181" s="17" t="str">
        <f>_xlfn.XLOOKUP(C181,ТаблицаТовары[ID товара],ТаблицаТовары[Категория])</f>
        <v>Аксессуары</v>
      </c>
      <c r="F181" s="29">
        <v>3</v>
      </c>
      <c r="G181" s="19">
        <f>_xlfn.XLOOKUP(C181, ТаблицаТовары[ID товара], ТаблицаТовары[Цена], "Цена не найдена")</f>
        <v>7590</v>
      </c>
      <c r="H181" s="25">
        <f>MAX(
    (MONTH(B181)=11)*0.15,
    (MONTH(B181)=3)*0.1,
    (OR(C181="Т-003",C181="Т-009",C181="Т-018"))*0.12,
    (F181&gt;=3)*0.08,
    (VLOOKUP(C181,ТаблицаТовары[[ID товара]:[Категория]],3,FALSE)="Одежда")*0.1,
    0
)</f>
        <v>0.12</v>
      </c>
      <c r="I181" s="19">
        <f t="shared" si="4"/>
        <v>20037.599999999999</v>
      </c>
      <c r="J181" s="19">
        <f>F181*((G181*(1-H181)) - _xlfn.XLOOKUP(C181,ТаблицаТовары[ID товара],ТаблицаТовары[Себестоимость],0))</f>
        <v>7437.5999999999995</v>
      </c>
      <c r="K181" s="27">
        <f t="shared" si="5"/>
        <v>0.37118217750628818</v>
      </c>
    </row>
    <row r="182" spans="1:11" x14ac:dyDescent="0.25">
      <c r="A182" s="22" t="s">
        <v>247</v>
      </c>
      <c r="B182" s="15">
        <v>45304</v>
      </c>
      <c r="C182" s="22" t="s">
        <v>46</v>
      </c>
      <c r="D182" s="31" t="str">
        <f>_xlfn.XLOOKUP(C182, ТаблицаТовары[ID товара], ТаблицаТовары[Название])</f>
        <v>Сумка кожаная женская</v>
      </c>
      <c r="E182" s="17" t="str">
        <f>_xlfn.XLOOKUP(C182,ТаблицаТовары[ID товара],ТаблицаТовары[Категория])</f>
        <v>Аксессуары</v>
      </c>
      <c r="F182" s="29">
        <v>2</v>
      </c>
      <c r="G182" s="19">
        <f>_xlfn.XLOOKUP(C182, ТаблицаТовары[ID товара], ТаблицаТовары[Цена], "Цена не найдена")</f>
        <v>7590</v>
      </c>
      <c r="H182" s="25">
        <f>MAX(
    (MONTH(B182)=11)*0.15,
    (MONTH(B182)=3)*0.1,
    (OR(C182="Т-003",C182="Т-009",C182="Т-018"))*0.12,
    (F182&gt;=3)*0.08,
    (VLOOKUP(C182,ТаблицаТовары[[ID товара]:[Категория]],3,FALSE)="Одежда")*0.1,
    0
)</f>
        <v>0.12</v>
      </c>
      <c r="I182" s="19">
        <f t="shared" si="4"/>
        <v>13358.4</v>
      </c>
      <c r="J182" s="19">
        <f>F182*((G182*(1-H182)) - _xlfn.XLOOKUP(C182,ТаблицаТовары[ID товара],ТаблицаТовары[Себестоимость],0))</f>
        <v>4958.3999999999996</v>
      </c>
      <c r="K182" s="27">
        <f t="shared" si="5"/>
        <v>0.37118217750628818</v>
      </c>
    </row>
    <row r="183" spans="1:11" x14ac:dyDescent="0.25">
      <c r="A183" s="22" t="s">
        <v>248</v>
      </c>
      <c r="B183" s="15">
        <v>45298</v>
      </c>
      <c r="C183" s="22" t="s">
        <v>32</v>
      </c>
      <c r="D183" s="31" t="str">
        <f>_xlfn.XLOOKUP(C183, ТаблицаТовары[ID товара], ТаблицаТовары[Название])</f>
        <v>Рюкзак туристический</v>
      </c>
      <c r="E183" s="17" t="str">
        <f>_xlfn.XLOOKUP(C183,ТаблицаТовары[ID товара],ТаблицаТовары[Категория])</f>
        <v>Аксессуары</v>
      </c>
      <c r="F183" s="29">
        <v>2</v>
      </c>
      <c r="G183" s="19">
        <f>_xlfn.XLOOKUP(C183, ТаблицаТовары[ID товара], ТаблицаТовары[Цена], "Цена не найдена")</f>
        <v>3490</v>
      </c>
      <c r="H183" s="25">
        <f>MAX(
    (MONTH(B183)=11)*0.15,
    (MONTH(B183)=3)*0.1,
    (OR(C183="Т-003",C183="Т-009",C183="Т-018"))*0.12,
    (F183&gt;=3)*0.08,
    (VLOOKUP(C183,ТаблицаТовары[[ID товара]:[Категория]],3,FALSE)="Одежда")*0.1,
    0
)</f>
        <v>0</v>
      </c>
      <c r="I183" s="19">
        <f t="shared" si="4"/>
        <v>6980</v>
      </c>
      <c r="J183" s="19">
        <f>F183*((G183*(1-H183)) - _xlfn.XLOOKUP(C183,ТаблицаТовары[ID товара],ТаблицаТовары[Себестоимость],0))</f>
        <v>3380</v>
      </c>
      <c r="K183" s="27">
        <f t="shared" si="5"/>
        <v>0.48424068767908307</v>
      </c>
    </row>
    <row r="184" spans="1:11" x14ac:dyDescent="0.25">
      <c r="A184" s="22" t="s">
        <v>249</v>
      </c>
      <c r="B184" s="15">
        <v>45526</v>
      </c>
      <c r="C184" s="22" t="s">
        <v>39</v>
      </c>
      <c r="D184" s="31" t="str">
        <f>_xlfn.XLOOKUP(C184, ТаблицаТовары[ID товара], ТаблицаТовары[Название])</f>
        <v>Джинсы Levi's 501</v>
      </c>
      <c r="E184" s="17" t="str">
        <f>_xlfn.XLOOKUP(C184,ТаблицаТовары[ID товара],ТаблицаТовары[Категория])</f>
        <v>Одежда</v>
      </c>
      <c r="F184" s="29">
        <v>2</v>
      </c>
      <c r="G184" s="19">
        <f>_xlfn.XLOOKUP(C184, ТаблицаТовары[ID товара], ТаблицаТовары[Цена], "Цена не найдена")</f>
        <v>5990</v>
      </c>
      <c r="H184" s="25">
        <f>MAX(
    (MONTH(B184)=11)*0.15,
    (MONTH(B184)=3)*0.1,
    (OR(C184="Т-003",C184="Т-009",C184="Т-018"))*0.12,
    (F184&gt;=3)*0.08,
    (VLOOKUP(C184,ТаблицаТовары[[ID товара]:[Категория]],3,FALSE)="Одежда")*0.1,
    0
)</f>
        <v>0.1</v>
      </c>
      <c r="I184" s="19">
        <f t="shared" si="4"/>
        <v>10782</v>
      </c>
      <c r="J184" s="19">
        <f>F184*((G184*(1-H184)) - _xlfn.XLOOKUP(C184,ТаблицаТовары[ID товара],ТаблицаТовары[Себестоимость],0))</f>
        <v>4982</v>
      </c>
      <c r="K184" s="27">
        <f t="shared" si="5"/>
        <v>0.46206640697458728</v>
      </c>
    </row>
    <row r="185" spans="1:11" x14ac:dyDescent="0.25">
      <c r="A185" s="22" t="s">
        <v>250</v>
      </c>
      <c r="B185" s="15">
        <v>45335</v>
      </c>
      <c r="C185" s="22" t="s">
        <v>24</v>
      </c>
      <c r="D185" s="31" t="str">
        <f>_xlfn.XLOOKUP(C185, ТаблицаТовары[ID товара], ТаблицаТовары[Название])</f>
        <v>Чайник стеклянный</v>
      </c>
      <c r="E185" s="17" t="str">
        <f>_xlfn.XLOOKUP(C185,ТаблицаТовары[ID товара],ТаблицаТовары[Категория])</f>
        <v>Для дома</v>
      </c>
      <c r="F185" s="29">
        <v>1</v>
      </c>
      <c r="G185" s="19">
        <f>_xlfn.XLOOKUP(C185, ТаблицаТовары[ID товара], ТаблицаТовары[Цена], "Цена не найдена")</f>
        <v>2490</v>
      </c>
      <c r="H185" s="25">
        <f>MAX(
    (MONTH(B185)=11)*0.15,
    (MONTH(B185)=3)*0.1,
    (OR(C185="Т-003",C185="Т-009",C185="Т-018"))*0.12,
    (F185&gt;=3)*0.08,
    (VLOOKUP(C185,ТаблицаТовары[[ID товара]:[Категория]],3,FALSE)="Одежда")*0.1,
    0
)</f>
        <v>0</v>
      </c>
      <c r="I185" s="19">
        <f t="shared" si="4"/>
        <v>2490</v>
      </c>
      <c r="J185" s="19">
        <f>F185*((G185*(1-H185)) - _xlfn.XLOOKUP(C185,ТаблицаТовары[ID товара],ТаблицаТовары[Себестоимость],0))</f>
        <v>1290</v>
      </c>
      <c r="K185" s="27">
        <f t="shared" si="5"/>
        <v>0.51807228915662651</v>
      </c>
    </row>
    <row r="186" spans="1:11" x14ac:dyDescent="0.25">
      <c r="A186" s="22" t="s">
        <v>251</v>
      </c>
      <c r="B186" s="15">
        <v>45556</v>
      </c>
      <c r="C186" s="22" t="s">
        <v>19</v>
      </c>
      <c r="D186" s="31" t="str">
        <f>_xlfn.XLOOKUP(C186, ТаблицаТовары[ID товара], ТаблицаТовары[Название])</f>
        <v>Кроссовки Nike Air Max</v>
      </c>
      <c r="E186" s="17" t="str">
        <f>_xlfn.XLOOKUP(C186,ТаблицаТовары[ID товара],ТаблицаТовары[Категория])</f>
        <v>Обувь</v>
      </c>
      <c r="F186" s="29">
        <v>2</v>
      </c>
      <c r="G186" s="19">
        <f>_xlfn.XLOOKUP(C186, ТаблицаТовары[ID товара], ТаблицаТовары[Цена], "Цена не найдена")</f>
        <v>8990</v>
      </c>
      <c r="H186" s="25">
        <f>MAX(
    (MONTH(B186)=11)*0.15,
    (MONTH(B186)=3)*0.1,
    (OR(C186="Т-003",C186="Т-009",C186="Т-018"))*0.12,
    (F186&gt;=3)*0.08,
    (VLOOKUP(C186,ТаблицаТовары[[ID товара]:[Категория]],3,FALSE)="Одежда")*0.1,
    0
)</f>
        <v>0</v>
      </c>
      <c r="I186" s="19">
        <f t="shared" si="4"/>
        <v>17980</v>
      </c>
      <c r="J186" s="19">
        <f>F186*((G186*(1-H186)) - _xlfn.XLOOKUP(C186,ТаблицаТовары[ID товара],ТаблицаТовары[Себестоимость],0))</f>
        <v>7580</v>
      </c>
      <c r="K186" s="27">
        <f t="shared" si="5"/>
        <v>0.42157953281423804</v>
      </c>
    </row>
    <row r="187" spans="1:11" x14ac:dyDescent="0.25">
      <c r="A187" s="22" t="s">
        <v>252</v>
      </c>
      <c r="B187" s="15">
        <v>45493</v>
      </c>
      <c r="C187" s="22" t="s">
        <v>13</v>
      </c>
      <c r="D187" s="31" t="str">
        <f>_xlfn.XLOOKUP(C187, ТаблицаТовары[ID товара], ТаблицаТовары[Название])</f>
        <v>Куртка зимняя North Face</v>
      </c>
      <c r="E187" s="17" t="str">
        <f>_xlfn.XLOOKUP(C187,ТаблицаТовары[ID товара],ТаблицаТовары[Категория])</f>
        <v>Одежда</v>
      </c>
      <c r="F187" s="29">
        <v>1</v>
      </c>
      <c r="G187" s="19">
        <f>_xlfn.XLOOKUP(C187, ТаблицаТовары[ID товара], ТаблицаТовары[Цена], "Цена не найдена")</f>
        <v>12990</v>
      </c>
      <c r="H187" s="25">
        <f>MAX(
    (MONTH(B187)=11)*0.15,
    (MONTH(B187)=3)*0.1,
    (OR(C187="Т-003",C187="Т-009",C187="Т-018"))*0.12,
    (F187&gt;=3)*0.08,
    (VLOOKUP(C187,ТаблицаТовары[[ID товара]:[Категория]],3,FALSE)="Одежда")*0.1,
    0
)</f>
        <v>0.1</v>
      </c>
      <c r="I187" s="19">
        <f t="shared" si="4"/>
        <v>11691</v>
      </c>
      <c r="J187" s="19">
        <f>F187*((G187*(1-H187)) - _xlfn.XLOOKUP(C187,ТаблицаТовары[ID товара],ТаблицаТовары[Себестоимость],0))</f>
        <v>4191</v>
      </c>
      <c r="K187" s="27">
        <f t="shared" si="5"/>
        <v>0.35848088273030537</v>
      </c>
    </row>
    <row r="188" spans="1:11" x14ac:dyDescent="0.25">
      <c r="A188" s="22" t="s">
        <v>253</v>
      </c>
      <c r="B188" s="15">
        <v>45358</v>
      </c>
      <c r="C188" s="22" t="s">
        <v>48</v>
      </c>
      <c r="D188" s="31" t="str">
        <f>_xlfn.XLOOKUP(C188, ТаблицаТовары[ID товара], ТаблицаТовары[Название])</f>
        <v>Микрофон для стримов</v>
      </c>
      <c r="E188" s="17" t="str">
        <f>_xlfn.XLOOKUP(C188,ТаблицаТовары[ID товара],ТаблицаТовары[Категория])</f>
        <v>Электроника</v>
      </c>
      <c r="F188" s="29">
        <v>3</v>
      </c>
      <c r="G188" s="19">
        <f>_xlfn.XLOOKUP(C188, ТаблицаТовары[ID товара], ТаблицаТовары[Цена], "Цена не найдена")</f>
        <v>12990</v>
      </c>
      <c r="H188" s="25">
        <f>MAX(
    (MONTH(B188)=11)*0.15,
    (MONTH(B188)=3)*0.1,
    (OR(C188="Т-003",C188="Т-009",C188="Т-018"))*0.12,
    (F188&gt;=3)*0.08,
    (VLOOKUP(C188,ТаблицаТовары[[ID товара]:[Категория]],3,FALSE)="Одежда")*0.1,
    0
)</f>
        <v>0.1</v>
      </c>
      <c r="I188" s="19">
        <f t="shared" si="4"/>
        <v>35073</v>
      </c>
      <c r="J188" s="19">
        <f>F188*((G188*(1-H188)) - _xlfn.XLOOKUP(C188,ТаблицаТовары[ID товара],ТаблицаТовары[Себестоимость],0))</f>
        <v>8373</v>
      </c>
      <c r="K188" s="27">
        <f t="shared" si="5"/>
        <v>0.23873064750662903</v>
      </c>
    </row>
    <row r="189" spans="1:11" x14ac:dyDescent="0.25">
      <c r="A189" s="22" t="s">
        <v>254</v>
      </c>
      <c r="B189" s="15">
        <v>45432</v>
      </c>
      <c r="C189" s="22" t="s">
        <v>28</v>
      </c>
      <c r="D189" s="31" t="str">
        <f>_xlfn.XLOOKUP(C189, ТаблицаТовары[ID товара], ТаблицаТовары[Название])</f>
        <v>Монитор 24" Samsung</v>
      </c>
      <c r="E189" s="17" t="str">
        <f>_xlfn.XLOOKUP(C189,ТаблицаТовары[ID товара],ТаблицаТовары[Категория])</f>
        <v>Электроника</v>
      </c>
      <c r="F189" s="29">
        <v>3</v>
      </c>
      <c r="G189" s="19">
        <f>_xlfn.XLOOKUP(C189, ТаблицаТовары[ID товара], ТаблицаТовары[Цена], "Цена не найдена")</f>
        <v>18990</v>
      </c>
      <c r="H189" s="25">
        <f>MAX(
    (MONTH(B189)=11)*0.15,
    (MONTH(B189)=3)*0.1,
    (OR(C189="Т-003",C189="Т-009",C189="Т-018"))*0.12,
    (F189&gt;=3)*0.08,
    (VLOOKUP(C189,ТаблицаТовары[[ID товара]:[Категория]],3,FALSE)="Одежда")*0.1,
    0
)</f>
        <v>0.08</v>
      </c>
      <c r="I189" s="19">
        <f t="shared" si="4"/>
        <v>52412.4</v>
      </c>
      <c r="J189" s="19">
        <f>F189*((G189*(1-H189)) - _xlfn.XLOOKUP(C189,ТаблицаТовары[ID товара],ТаблицаТовары[Себестоимость],0))</f>
        <v>12812.399999999998</v>
      </c>
      <c r="K189" s="27">
        <f t="shared" si="5"/>
        <v>0.24445360258259491</v>
      </c>
    </row>
    <row r="190" spans="1:11" x14ac:dyDescent="0.25">
      <c r="A190" s="22" t="s">
        <v>255</v>
      </c>
      <c r="B190" s="15">
        <v>45642</v>
      </c>
      <c r="C190" s="22" t="s">
        <v>10</v>
      </c>
      <c r="D190" s="31" t="str">
        <f>_xlfn.XLOOKUP(C190, ТаблицаТовары[ID товара], ТаблицаТовары[Название])</f>
        <v>Книга "Мастерство продаж"</v>
      </c>
      <c r="E190" s="17" t="str">
        <f>_xlfn.XLOOKUP(C190,ТаблицаТовары[ID товара],ТаблицаТовары[Категория])</f>
        <v>Книги</v>
      </c>
      <c r="F190" s="29">
        <v>2</v>
      </c>
      <c r="G190" s="19">
        <f>_xlfn.XLOOKUP(C190, ТаблицаТовары[ID товара], ТаблицаТовары[Цена], "Цена не найдена")</f>
        <v>890</v>
      </c>
      <c r="H190" s="25">
        <f>MAX(
    (MONTH(B190)=11)*0.15,
    (MONTH(B190)=3)*0.1,
    (OR(C190="Т-003",C190="Т-009",C190="Т-018"))*0.12,
    (F190&gt;=3)*0.08,
    (VLOOKUP(C190,ТаблицаТовары[[ID товара]:[Категория]],3,FALSE)="Одежда")*0.1,
    0
)</f>
        <v>0.12</v>
      </c>
      <c r="I190" s="19">
        <f t="shared" si="4"/>
        <v>1566.4</v>
      </c>
      <c r="J190" s="19">
        <f>F190*((G190*(1-H190)) - _xlfn.XLOOKUP(C190,ТаблицаТовары[ID товара],ТаблицаТовары[Себестоимость],0))</f>
        <v>666.40000000000009</v>
      </c>
      <c r="K190" s="27">
        <f t="shared" si="5"/>
        <v>0.42543411644535245</v>
      </c>
    </row>
    <row r="191" spans="1:11" x14ac:dyDescent="0.25">
      <c r="A191" s="22" t="s">
        <v>256</v>
      </c>
      <c r="B191" s="15">
        <v>45397</v>
      </c>
      <c r="C191" s="22" t="s">
        <v>48</v>
      </c>
      <c r="D191" s="31" t="str">
        <f>_xlfn.XLOOKUP(C191, ТаблицаТовары[ID товара], ТаблицаТовары[Название])</f>
        <v>Микрофон для стримов</v>
      </c>
      <c r="E191" s="17" t="str">
        <f>_xlfn.XLOOKUP(C191,ТаблицаТовары[ID товара],ТаблицаТовары[Категория])</f>
        <v>Электроника</v>
      </c>
      <c r="F191" s="29">
        <v>3</v>
      </c>
      <c r="G191" s="19">
        <f>_xlfn.XLOOKUP(C191, ТаблицаТовары[ID товара], ТаблицаТовары[Цена], "Цена не найдена")</f>
        <v>12990</v>
      </c>
      <c r="H191" s="25">
        <f>MAX(
    (MONTH(B191)=11)*0.15,
    (MONTH(B191)=3)*0.1,
    (OR(C191="Т-003",C191="Т-009",C191="Т-018"))*0.12,
    (F191&gt;=3)*0.08,
    (VLOOKUP(C191,ТаблицаТовары[[ID товара]:[Категория]],3,FALSE)="Одежда")*0.1,
    0
)</f>
        <v>0.08</v>
      </c>
      <c r="I191" s="19">
        <f t="shared" si="4"/>
        <v>35852.400000000001</v>
      </c>
      <c r="J191" s="19">
        <f>F191*((G191*(1-H191)) - _xlfn.XLOOKUP(C191,ТаблицаТовары[ID товара],ТаблицаТовары[Себестоимость],0))</f>
        <v>9152.4000000000033</v>
      </c>
      <c r="K191" s="27">
        <f t="shared" si="5"/>
        <v>0.25527998125648499</v>
      </c>
    </row>
    <row r="192" spans="1:11" x14ac:dyDescent="0.25">
      <c r="A192" s="22" t="s">
        <v>257</v>
      </c>
      <c r="B192" s="15">
        <v>45385</v>
      </c>
      <c r="C192" s="22" t="s">
        <v>50</v>
      </c>
      <c r="D192" s="31" t="str">
        <f>_xlfn.XLOOKUP(C192, ТаблицаТовары[ID товара], ТаблицаТовары[Название])</f>
        <v>Йогуртница</v>
      </c>
      <c r="E192" s="17" t="str">
        <f>_xlfn.XLOOKUP(C192,ТаблицаТовары[ID товара],ТаблицаТовары[Категория])</f>
        <v>Для дома</v>
      </c>
      <c r="F192" s="29">
        <v>2</v>
      </c>
      <c r="G192" s="19">
        <f>_xlfn.XLOOKUP(C192, ТаблицаТовары[ID товара], ТаблицаТовары[Цена], "Цена не найдена")</f>
        <v>4990</v>
      </c>
      <c r="H192" s="25">
        <f>MAX(
    (MONTH(B192)=11)*0.15,
    (MONTH(B192)=3)*0.1,
    (OR(C192="Т-003",C192="Т-009",C192="Т-018"))*0.12,
    (F192&gt;=3)*0.08,
    (VLOOKUP(C192,ТаблицаТовары[[ID товара]:[Категория]],3,FALSE)="Одежда")*0.1,
    0
)</f>
        <v>0</v>
      </c>
      <c r="I192" s="19">
        <f t="shared" si="4"/>
        <v>9980</v>
      </c>
      <c r="J192" s="19">
        <f>F192*((G192*(1-H192)) - _xlfn.XLOOKUP(C192,ТаблицаТовары[ID товара],ТаблицаТовары[Себестоимость],0))</f>
        <v>3580</v>
      </c>
      <c r="K192" s="27">
        <f t="shared" si="5"/>
        <v>0.3587174348697395</v>
      </c>
    </row>
    <row r="193" spans="1:11" x14ac:dyDescent="0.25">
      <c r="A193" s="22" t="s">
        <v>258</v>
      </c>
      <c r="B193" s="15">
        <v>45648</v>
      </c>
      <c r="C193" s="22" t="s">
        <v>37</v>
      </c>
      <c r="D193" s="31" t="str">
        <f>_xlfn.XLOOKUP(C193, ТаблицаТовары[ID товара], ТаблицаТовары[Название])</f>
        <v>Набор посуды 12 предметов</v>
      </c>
      <c r="E193" s="17" t="str">
        <f>_xlfn.XLOOKUP(C193,ТаблицаТовары[ID товара],ТаблицаТовары[Категория])</f>
        <v>Для дома</v>
      </c>
      <c r="F193" s="29">
        <v>2</v>
      </c>
      <c r="G193" s="19">
        <f>_xlfn.XLOOKUP(C193, ТаблицаТовары[ID товара], ТаблицаТовары[Цена], "Цена не найдена")</f>
        <v>14990</v>
      </c>
      <c r="H193" s="25">
        <f>MAX(
    (MONTH(B193)=11)*0.15,
    (MONTH(B193)=3)*0.1,
    (OR(C193="Т-003",C193="Т-009",C193="Т-018"))*0.12,
    (F193&gt;=3)*0.08,
    (VLOOKUP(C193,ТаблицаТовары[[ID товара]:[Категория]],3,FALSE)="Одежда")*0.1,
    0
)</f>
        <v>0</v>
      </c>
      <c r="I193" s="19">
        <f t="shared" si="4"/>
        <v>29980</v>
      </c>
      <c r="J193" s="19">
        <f>F193*((G193*(1-H193)) - _xlfn.XLOOKUP(C193,ТаблицаТовары[ID товара],ТаблицаТовары[Себестоимость],0))</f>
        <v>12780</v>
      </c>
      <c r="K193" s="27">
        <f t="shared" si="5"/>
        <v>0.42628418945963975</v>
      </c>
    </row>
    <row r="194" spans="1:11" x14ac:dyDescent="0.25">
      <c r="A194" s="22" t="s">
        <v>259</v>
      </c>
      <c r="B194" s="15">
        <v>45487</v>
      </c>
      <c r="C194" s="22" t="s">
        <v>16</v>
      </c>
      <c r="D194" s="31" t="str">
        <f>_xlfn.XLOOKUP(C194, ТаблицаТовары[ID товара], ТаблицаТовары[Название])</f>
        <v>Кофемашина DeLonghi</v>
      </c>
      <c r="E194" s="17" t="str">
        <f>_xlfn.XLOOKUP(C194,ТаблицаТовары[ID товара],ТаблицаТовары[Категория])</f>
        <v>Для дома</v>
      </c>
      <c r="F194" s="29">
        <v>1</v>
      </c>
      <c r="G194" s="19">
        <f>_xlfn.XLOOKUP(C194, ТаблицаТовары[ID товара], ТаблицаТовары[Цена], "Цена не найдена")</f>
        <v>45990</v>
      </c>
      <c r="H194" s="25">
        <f>MAX(
    (MONTH(B194)=11)*0.15,
    (MONTH(B194)=3)*0.1,
    (OR(C194="Т-003",C194="Т-009",C194="Т-018"))*0.12,
    (F194&gt;=3)*0.08,
    (VLOOKUP(C194,ТаблицаТовары[[ID товара]:[Категория]],3,FALSE)="Одежда")*0.1,
    0
)</f>
        <v>0</v>
      </c>
      <c r="I194" s="19">
        <f t="shared" si="4"/>
        <v>45990</v>
      </c>
      <c r="J194" s="19">
        <f>F194*((G194*(1-H194)) - _xlfn.XLOOKUP(C194,ТаблицаТовары[ID товара],ТаблицаТовары[Себестоимость],0))</f>
        <v>13590</v>
      </c>
      <c r="K194" s="27">
        <f t="shared" si="5"/>
        <v>0.29549902152641877</v>
      </c>
    </row>
    <row r="195" spans="1:11" x14ac:dyDescent="0.25">
      <c r="A195" s="22" t="s">
        <v>260</v>
      </c>
      <c r="B195" s="15">
        <v>45429</v>
      </c>
      <c r="C195" s="22" t="s">
        <v>16</v>
      </c>
      <c r="D195" s="31" t="str">
        <f>_xlfn.XLOOKUP(C195, ТаблицаТовары[ID товара], ТаблицаТовары[Название])</f>
        <v>Кофемашина DeLonghi</v>
      </c>
      <c r="E195" s="17" t="str">
        <f>_xlfn.XLOOKUP(C195,ТаблицаТовары[ID товара],ТаблицаТовары[Категория])</f>
        <v>Для дома</v>
      </c>
      <c r="F195" s="29">
        <v>2</v>
      </c>
      <c r="G195" s="19">
        <f>_xlfn.XLOOKUP(C195, ТаблицаТовары[ID товара], ТаблицаТовары[Цена], "Цена не найдена")</f>
        <v>45990</v>
      </c>
      <c r="H195" s="25">
        <f>MAX(
    (MONTH(B195)=11)*0.15,
    (MONTH(B195)=3)*0.1,
    (OR(C195="Т-003",C195="Т-009",C195="Т-018"))*0.12,
    (F195&gt;=3)*0.08,
    (VLOOKUP(C195,ТаблицаТовары[[ID товара]:[Категория]],3,FALSE)="Одежда")*0.1,
    0
)</f>
        <v>0</v>
      </c>
      <c r="I195" s="19">
        <f t="shared" ref="I195:I258" si="6">F195*G195*(1-H195)</f>
        <v>91980</v>
      </c>
      <c r="J195" s="19">
        <f>F195*((G195*(1-H195)) - _xlfn.XLOOKUP(C195,ТаблицаТовары[ID товара],ТаблицаТовары[Себестоимость],0))</f>
        <v>27180</v>
      </c>
      <c r="K195" s="27">
        <f t="shared" ref="K195:K258" si="7">IFERROR(J195/I195, 0)</f>
        <v>0.29549902152641877</v>
      </c>
    </row>
    <row r="196" spans="1:11" x14ac:dyDescent="0.25">
      <c r="A196" s="22" t="s">
        <v>261</v>
      </c>
      <c r="B196" s="15">
        <v>45524</v>
      </c>
      <c r="C196" s="22" t="s">
        <v>5</v>
      </c>
      <c r="D196" s="31" t="str">
        <f>_xlfn.XLOOKUP(C196, ТаблицаТовары[ID товара], ТаблицаТовары[Название])</f>
        <v>Смартфон Galaxy A54</v>
      </c>
      <c r="E196" s="17" t="str">
        <f>_xlfn.XLOOKUP(C196,ТаблицаТовары[ID товара],ТаблицаТовары[Категория])</f>
        <v>Электроника</v>
      </c>
      <c r="F196" s="29">
        <v>3</v>
      </c>
      <c r="G196" s="19">
        <f>_xlfn.XLOOKUP(C196, ТаблицаТовары[ID товара], ТаблицаТовары[Цена], "Цена не найдена")</f>
        <v>29990</v>
      </c>
      <c r="H196" s="25">
        <f>MAX(
    (MONTH(B196)=11)*0.15,
    (MONTH(B196)=3)*0.1,
    (OR(C196="Т-003",C196="Т-009",C196="Т-018"))*0.12,
    (F196&gt;=3)*0.08,
    (VLOOKUP(C196,ТаблицаТовары[[ID товара]:[Категория]],3,FALSE)="Одежда")*0.1,
    0
)</f>
        <v>0.08</v>
      </c>
      <c r="I196" s="19">
        <f t="shared" si="6"/>
        <v>82772.400000000009</v>
      </c>
      <c r="J196" s="19">
        <f>F196*((G196*(1-H196)) - _xlfn.XLOOKUP(C196,ТаблицаТовары[ID товара],ТаблицаТовары[Себестоимость],0))</f>
        <v>18272.400000000009</v>
      </c>
      <c r="K196" s="27">
        <f t="shared" si="7"/>
        <v>0.22075474433506828</v>
      </c>
    </row>
    <row r="197" spans="1:11" x14ac:dyDescent="0.25">
      <c r="A197" s="22" t="s">
        <v>262</v>
      </c>
      <c r="B197" s="15">
        <v>45577</v>
      </c>
      <c r="C197" s="22" t="s">
        <v>43</v>
      </c>
      <c r="D197" s="31" t="str">
        <f>_xlfn.XLOOKUP(C197, ТаблицаТовары[ID товара], ТаблицаТовары[Название])</f>
        <v>Беговая дорожка</v>
      </c>
      <c r="E197" s="17" t="str">
        <f>_xlfn.XLOOKUP(C197,ТаблицаТовары[ID товара],ТаблицаТовары[Категория])</f>
        <v>Спорт</v>
      </c>
      <c r="F197" s="29">
        <v>3</v>
      </c>
      <c r="G197" s="19">
        <f>_xlfn.XLOOKUP(C197, ТаблицаТовары[ID товара], ТаблицаТовары[Цена], "Цена не найдена")</f>
        <v>79990</v>
      </c>
      <c r="H197" s="25">
        <f>MAX(
    (MONTH(B197)=11)*0.15,
    (MONTH(B197)=3)*0.1,
    (OR(C197="Т-003",C197="Т-009",C197="Т-018"))*0.12,
    (F197&gt;=3)*0.08,
    (VLOOKUP(C197,ТаблицаТовары[[ID товара]:[Категория]],3,FALSE)="Одежда")*0.1,
    0
)</f>
        <v>0.08</v>
      </c>
      <c r="I197" s="19">
        <f t="shared" si="6"/>
        <v>220772.40000000002</v>
      </c>
      <c r="J197" s="19">
        <f>F197*((G197*(1-H197)) - _xlfn.XLOOKUP(C197,ТаблицаТовары[ID товара],ТаблицаТовары[Себестоимость],0))</f>
        <v>44072.400000000009</v>
      </c>
      <c r="K197" s="27">
        <f t="shared" si="7"/>
        <v>0.19962821439636477</v>
      </c>
    </row>
    <row r="198" spans="1:11" x14ac:dyDescent="0.25">
      <c r="A198" s="22" t="s">
        <v>263</v>
      </c>
      <c r="B198" s="15">
        <v>45329</v>
      </c>
      <c r="C198" s="22" t="s">
        <v>32</v>
      </c>
      <c r="D198" s="31" t="str">
        <f>_xlfn.XLOOKUP(C198, ТаблицаТовары[ID товара], ТаблицаТовары[Название])</f>
        <v>Рюкзак туристический</v>
      </c>
      <c r="E198" s="17" t="str">
        <f>_xlfn.XLOOKUP(C198,ТаблицаТовары[ID товара],ТаблицаТовары[Категория])</f>
        <v>Аксессуары</v>
      </c>
      <c r="F198" s="29">
        <v>2</v>
      </c>
      <c r="G198" s="19">
        <f>_xlfn.XLOOKUP(C198, ТаблицаТовары[ID товара], ТаблицаТовары[Цена], "Цена не найдена")</f>
        <v>3490</v>
      </c>
      <c r="H198" s="25">
        <f>MAX(
    (MONTH(B198)=11)*0.15,
    (MONTH(B198)=3)*0.1,
    (OR(C198="Т-003",C198="Т-009",C198="Т-018"))*0.12,
    (F198&gt;=3)*0.08,
    (VLOOKUP(C198,ТаблицаТовары[[ID товара]:[Категория]],3,FALSE)="Одежда")*0.1,
    0
)</f>
        <v>0</v>
      </c>
      <c r="I198" s="19">
        <f t="shared" si="6"/>
        <v>6980</v>
      </c>
      <c r="J198" s="19">
        <f>F198*((G198*(1-H198)) - _xlfn.XLOOKUP(C198,ТаблицаТовары[ID товара],ТаблицаТовары[Себестоимость],0))</f>
        <v>3380</v>
      </c>
      <c r="K198" s="27">
        <f t="shared" si="7"/>
        <v>0.48424068767908307</v>
      </c>
    </row>
    <row r="199" spans="1:11" x14ac:dyDescent="0.25">
      <c r="A199" s="22" t="s">
        <v>264</v>
      </c>
      <c r="B199" s="15">
        <v>45550</v>
      </c>
      <c r="C199" s="22" t="s">
        <v>48</v>
      </c>
      <c r="D199" s="31" t="str">
        <f>_xlfn.XLOOKUP(C199, ТаблицаТовары[ID товара], ТаблицаТовары[Название])</f>
        <v>Микрофон для стримов</v>
      </c>
      <c r="E199" s="17" t="str">
        <f>_xlfn.XLOOKUP(C199,ТаблицаТовары[ID товара],ТаблицаТовары[Категория])</f>
        <v>Электроника</v>
      </c>
      <c r="F199" s="29">
        <v>3</v>
      </c>
      <c r="G199" s="19">
        <f>_xlfn.XLOOKUP(C199, ТаблицаТовары[ID товара], ТаблицаТовары[Цена], "Цена не найдена")</f>
        <v>12990</v>
      </c>
      <c r="H199" s="25">
        <f>MAX(
    (MONTH(B199)=11)*0.15,
    (MONTH(B199)=3)*0.1,
    (OR(C199="Т-003",C199="Т-009",C199="Т-018"))*0.12,
    (F199&gt;=3)*0.08,
    (VLOOKUP(C199,ТаблицаТовары[[ID товара]:[Категория]],3,FALSE)="Одежда")*0.1,
    0
)</f>
        <v>0.08</v>
      </c>
      <c r="I199" s="19">
        <f t="shared" si="6"/>
        <v>35852.400000000001</v>
      </c>
      <c r="J199" s="19">
        <f>F199*((G199*(1-H199)) - _xlfn.XLOOKUP(C199,ТаблицаТовары[ID товара],ТаблицаТовары[Себестоимость],0))</f>
        <v>9152.4000000000033</v>
      </c>
      <c r="K199" s="27">
        <f t="shared" si="7"/>
        <v>0.25527998125648499</v>
      </c>
    </row>
    <row r="200" spans="1:11" x14ac:dyDescent="0.25">
      <c r="A200" s="22" t="s">
        <v>265</v>
      </c>
      <c r="B200" s="15">
        <v>45408</v>
      </c>
      <c r="C200" s="22" t="s">
        <v>24</v>
      </c>
      <c r="D200" s="31" t="str">
        <f>_xlfn.XLOOKUP(C200, ТаблицаТовары[ID товара], ТаблицаТовары[Название])</f>
        <v>Чайник стеклянный</v>
      </c>
      <c r="E200" s="17" t="str">
        <f>_xlfn.XLOOKUP(C200,ТаблицаТовары[ID товара],ТаблицаТовары[Категория])</f>
        <v>Для дома</v>
      </c>
      <c r="F200" s="29">
        <v>1</v>
      </c>
      <c r="G200" s="19">
        <f>_xlfn.XLOOKUP(C200, ТаблицаТовары[ID товара], ТаблицаТовары[Цена], "Цена не найдена")</f>
        <v>2490</v>
      </c>
      <c r="H200" s="25">
        <f>MAX(
    (MONTH(B200)=11)*0.15,
    (MONTH(B200)=3)*0.1,
    (OR(C200="Т-003",C200="Т-009",C200="Т-018"))*0.12,
    (F200&gt;=3)*0.08,
    (VLOOKUP(C200,ТаблицаТовары[[ID товара]:[Категория]],3,FALSE)="Одежда")*0.1,
    0
)</f>
        <v>0</v>
      </c>
      <c r="I200" s="19">
        <f t="shared" si="6"/>
        <v>2490</v>
      </c>
      <c r="J200" s="19">
        <f>F200*((G200*(1-H200)) - _xlfn.XLOOKUP(C200,ТаблицаТовары[ID товара],ТаблицаТовары[Себестоимость],0))</f>
        <v>1290</v>
      </c>
      <c r="K200" s="27">
        <f t="shared" si="7"/>
        <v>0.51807228915662651</v>
      </c>
    </row>
    <row r="201" spans="1:11" x14ac:dyDescent="0.25">
      <c r="A201" s="22" t="s">
        <v>266</v>
      </c>
      <c r="B201" s="15">
        <v>45512</v>
      </c>
      <c r="C201" s="22" t="s">
        <v>13</v>
      </c>
      <c r="D201" s="31" t="str">
        <f>_xlfn.XLOOKUP(C201, ТаблицаТовары[ID товара], ТаблицаТовары[Название])</f>
        <v>Куртка зимняя North Face</v>
      </c>
      <c r="E201" s="17" t="str">
        <f>_xlfn.XLOOKUP(C201,ТаблицаТовары[ID товара],ТаблицаТовары[Категория])</f>
        <v>Одежда</v>
      </c>
      <c r="F201" s="29">
        <v>3</v>
      </c>
      <c r="G201" s="19">
        <f>_xlfn.XLOOKUP(C201, ТаблицаТовары[ID товара], ТаблицаТовары[Цена], "Цена не найдена")</f>
        <v>12990</v>
      </c>
      <c r="H201" s="25">
        <f>MAX(
    (MONTH(B201)=11)*0.15,
    (MONTH(B201)=3)*0.1,
    (OR(C201="Т-003",C201="Т-009",C201="Т-018"))*0.12,
    (F201&gt;=3)*0.08,
    (VLOOKUP(C201,ТаблицаТовары[[ID товара]:[Категория]],3,FALSE)="Одежда")*0.1,
    0
)</f>
        <v>0.1</v>
      </c>
      <c r="I201" s="19">
        <f t="shared" si="6"/>
        <v>35073</v>
      </c>
      <c r="J201" s="19">
        <f>F201*((G201*(1-H201)) - _xlfn.XLOOKUP(C201,ТаблицаТовары[ID товара],ТаблицаТовары[Себестоимость],0))</f>
        <v>12573</v>
      </c>
      <c r="K201" s="27">
        <f t="shared" si="7"/>
        <v>0.35848088273030537</v>
      </c>
    </row>
    <row r="202" spans="1:11" x14ac:dyDescent="0.25">
      <c r="A202" s="22" t="s">
        <v>267</v>
      </c>
      <c r="B202" s="15">
        <v>45443</v>
      </c>
      <c r="C202" s="22" t="s">
        <v>24</v>
      </c>
      <c r="D202" s="31" t="str">
        <f>_xlfn.XLOOKUP(C202, ТаблицаТовары[ID товара], ТаблицаТовары[Название])</f>
        <v>Чайник стеклянный</v>
      </c>
      <c r="E202" s="17" t="str">
        <f>_xlfn.XLOOKUP(C202,ТаблицаТовары[ID товара],ТаблицаТовары[Категория])</f>
        <v>Для дома</v>
      </c>
      <c r="F202" s="29">
        <v>3</v>
      </c>
      <c r="G202" s="19">
        <f>_xlfn.XLOOKUP(C202, ТаблицаТовары[ID товара], ТаблицаТовары[Цена], "Цена не найдена")</f>
        <v>2490</v>
      </c>
      <c r="H202" s="25">
        <f>MAX(
    (MONTH(B202)=11)*0.15,
    (MONTH(B202)=3)*0.1,
    (OR(C202="Т-003",C202="Т-009",C202="Т-018"))*0.12,
    (F202&gt;=3)*0.08,
    (VLOOKUP(C202,ТаблицаТовары[[ID товара]:[Категория]],3,FALSE)="Одежда")*0.1,
    0
)</f>
        <v>0.08</v>
      </c>
      <c r="I202" s="19">
        <f t="shared" si="6"/>
        <v>6872.4000000000005</v>
      </c>
      <c r="J202" s="19">
        <f>F202*((G202*(1-H202)) - _xlfn.XLOOKUP(C202,ТаблицаТовары[ID товара],ТаблицаТовары[Себестоимость],0))</f>
        <v>3272.4000000000005</v>
      </c>
      <c r="K202" s="27">
        <f t="shared" si="7"/>
        <v>0.47616553169198539</v>
      </c>
    </row>
    <row r="203" spans="1:11" x14ac:dyDescent="0.25">
      <c r="A203" s="22" t="s">
        <v>268</v>
      </c>
      <c r="B203" s="15">
        <v>45604</v>
      </c>
      <c r="C203" s="22" t="s">
        <v>5</v>
      </c>
      <c r="D203" s="31" t="str">
        <f>_xlfn.XLOOKUP(C203, ТаблицаТовары[ID товара], ТаблицаТовары[Название])</f>
        <v>Смартфон Galaxy A54</v>
      </c>
      <c r="E203" s="17" t="str">
        <f>_xlfn.XLOOKUP(C203,ТаблицаТовары[ID товара],ТаблицаТовары[Категория])</f>
        <v>Электроника</v>
      </c>
      <c r="F203" s="29">
        <v>3</v>
      </c>
      <c r="G203" s="19">
        <f>_xlfn.XLOOKUP(C203, ТаблицаТовары[ID товара], ТаблицаТовары[Цена], "Цена не найдена")</f>
        <v>29990</v>
      </c>
      <c r="H203" s="25">
        <f>MAX(
    (MONTH(B203)=11)*0.15,
    (MONTH(B203)=3)*0.1,
    (OR(C203="Т-003",C203="Т-009",C203="Т-018"))*0.12,
    (F203&gt;=3)*0.08,
    (VLOOKUP(C203,ТаблицаТовары[[ID товара]:[Категория]],3,FALSE)="Одежда")*0.1,
    0
)</f>
        <v>0.15</v>
      </c>
      <c r="I203" s="19">
        <f t="shared" si="6"/>
        <v>76474.5</v>
      </c>
      <c r="J203" s="19">
        <f>F203*((G203*(1-H203)) - _xlfn.XLOOKUP(C203,ТаблицаТовары[ID товара],ТаблицаТовары[Себестоимость],0))</f>
        <v>11974.5</v>
      </c>
      <c r="K203" s="27">
        <f t="shared" si="7"/>
        <v>0.1565816056332503</v>
      </c>
    </row>
    <row r="204" spans="1:11" x14ac:dyDescent="0.25">
      <c r="A204" s="22" t="s">
        <v>269</v>
      </c>
      <c r="B204" s="15">
        <v>45534</v>
      </c>
      <c r="C204" s="22" t="s">
        <v>28</v>
      </c>
      <c r="D204" s="31" t="str">
        <f>_xlfn.XLOOKUP(C204, ТаблицаТовары[ID товара], ТаблицаТовары[Название])</f>
        <v>Монитор 24" Samsung</v>
      </c>
      <c r="E204" s="17" t="str">
        <f>_xlfn.XLOOKUP(C204,ТаблицаТовары[ID товара],ТаблицаТовары[Категория])</f>
        <v>Электроника</v>
      </c>
      <c r="F204" s="29">
        <v>1</v>
      </c>
      <c r="G204" s="19">
        <f>_xlfn.XLOOKUP(C204, ТаблицаТовары[ID товара], ТаблицаТовары[Цена], "Цена не найдена")</f>
        <v>18990</v>
      </c>
      <c r="H204" s="25">
        <f>MAX(
    (MONTH(B204)=11)*0.15,
    (MONTH(B204)=3)*0.1,
    (OR(C204="Т-003",C204="Т-009",C204="Т-018"))*0.12,
    (F204&gt;=3)*0.08,
    (VLOOKUP(C204,ТаблицаТовары[[ID товара]:[Категория]],3,FALSE)="Одежда")*0.1,
    0
)</f>
        <v>0</v>
      </c>
      <c r="I204" s="19">
        <f t="shared" si="6"/>
        <v>18990</v>
      </c>
      <c r="J204" s="19">
        <f>F204*((G204*(1-H204)) - _xlfn.XLOOKUP(C204,ТаблицаТовары[ID товара],ТаблицаТовары[Себестоимость],0))</f>
        <v>5790</v>
      </c>
      <c r="K204" s="27">
        <f t="shared" si="7"/>
        <v>0.30489731437598738</v>
      </c>
    </row>
    <row r="205" spans="1:11" x14ac:dyDescent="0.25">
      <c r="A205" s="22" t="s">
        <v>270</v>
      </c>
      <c r="B205" s="15">
        <v>45448</v>
      </c>
      <c r="C205" s="22" t="s">
        <v>50</v>
      </c>
      <c r="D205" s="31" t="str">
        <f>_xlfn.XLOOKUP(C205, ТаблицаТовары[ID товара], ТаблицаТовары[Название])</f>
        <v>Йогуртница</v>
      </c>
      <c r="E205" s="17" t="str">
        <f>_xlfn.XLOOKUP(C205,ТаблицаТовары[ID товара],ТаблицаТовары[Категория])</f>
        <v>Для дома</v>
      </c>
      <c r="F205" s="29">
        <v>2</v>
      </c>
      <c r="G205" s="19">
        <f>_xlfn.XLOOKUP(C205, ТаблицаТовары[ID товара], ТаблицаТовары[Цена], "Цена не найдена")</f>
        <v>4990</v>
      </c>
      <c r="H205" s="25">
        <f>MAX(
    (MONTH(B205)=11)*0.15,
    (MONTH(B205)=3)*0.1,
    (OR(C205="Т-003",C205="Т-009",C205="Т-018"))*0.12,
    (F205&gt;=3)*0.08,
    (VLOOKUP(C205,ТаблицаТовары[[ID товара]:[Категория]],3,FALSE)="Одежда")*0.1,
    0
)</f>
        <v>0</v>
      </c>
      <c r="I205" s="19">
        <f t="shared" si="6"/>
        <v>9980</v>
      </c>
      <c r="J205" s="19">
        <f>F205*((G205*(1-H205)) - _xlfn.XLOOKUP(C205,ТаблицаТовары[ID товара],ТаблицаТовары[Себестоимость],0))</f>
        <v>3580</v>
      </c>
      <c r="K205" s="27">
        <f t="shared" si="7"/>
        <v>0.3587174348697395</v>
      </c>
    </row>
    <row r="206" spans="1:11" x14ac:dyDescent="0.25">
      <c r="A206" s="22" t="s">
        <v>271</v>
      </c>
      <c r="B206" s="15">
        <v>45520</v>
      </c>
      <c r="C206" s="22" t="s">
        <v>24</v>
      </c>
      <c r="D206" s="31" t="str">
        <f>_xlfn.XLOOKUP(C206, ТаблицаТовары[ID товара], ТаблицаТовары[Название])</f>
        <v>Чайник стеклянный</v>
      </c>
      <c r="E206" s="17" t="str">
        <f>_xlfn.XLOOKUP(C206,ТаблицаТовары[ID товара],ТаблицаТовары[Категория])</f>
        <v>Для дома</v>
      </c>
      <c r="F206" s="29">
        <v>2</v>
      </c>
      <c r="G206" s="19">
        <f>_xlfn.XLOOKUP(C206, ТаблицаТовары[ID товара], ТаблицаТовары[Цена], "Цена не найдена")</f>
        <v>2490</v>
      </c>
      <c r="H206" s="25">
        <f>MAX(
    (MONTH(B206)=11)*0.15,
    (MONTH(B206)=3)*0.1,
    (OR(C206="Т-003",C206="Т-009",C206="Т-018"))*0.12,
    (F206&gt;=3)*0.08,
    (VLOOKUP(C206,ТаблицаТовары[[ID товара]:[Категория]],3,FALSE)="Одежда")*0.1,
    0
)</f>
        <v>0</v>
      </c>
      <c r="I206" s="19">
        <f t="shared" si="6"/>
        <v>4980</v>
      </c>
      <c r="J206" s="19">
        <f>F206*((G206*(1-H206)) - _xlfn.XLOOKUP(C206,ТаблицаТовары[ID товара],ТаблицаТовары[Себестоимость],0))</f>
        <v>2580</v>
      </c>
      <c r="K206" s="27">
        <f t="shared" si="7"/>
        <v>0.51807228915662651</v>
      </c>
    </row>
    <row r="207" spans="1:11" x14ac:dyDescent="0.25">
      <c r="A207" s="22" t="s">
        <v>272</v>
      </c>
      <c r="B207" s="15">
        <v>45345</v>
      </c>
      <c r="C207" s="22" t="s">
        <v>48</v>
      </c>
      <c r="D207" s="31" t="str">
        <f>_xlfn.XLOOKUP(C207, ТаблицаТовары[ID товара], ТаблицаТовары[Название])</f>
        <v>Микрофон для стримов</v>
      </c>
      <c r="E207" s="17" t="str">
        <f>_xlfn.XLOOKUP(C207,ТаблицаТовары[ID товара],ТаблицаТовары[Категория])</f>
        <v>Электроника</v>
      </c>
      <c r="F207" s="29">
        <v>1</v>
      </c>
      <c r="G207" s="19">
        <f>_xlfn.XLOOKUP(C207, ТаблицаТовары[ID товара], ТаблицаТовары[Цена], "Цена не найдена")</f>
        <v>12990</v>
      </c>
      <c r="H207" s="25">
        <f>MAX(
    (MONTH(B207)=11)*0.15,
    (MONTH(B207)=3)*0.1,
    (OR(C207="Т-003",C207="Т-009",C207="Т-018"))*0.12,
    (F207&gt;=3)*0.08,
    (VLOOKUP(C207,ТаблицаТовары[[ID товара]:[Категория]],3,FALSE)="Одежда")*0.1,
    0
)</f>
        <v>0</v>
      </c>
      <c r="I207" s="19">
        <f t="shared" si="6"/>
        <v>12990</v>
      </c>
      <c r="J207" s="19">
        <f>F207*((G207*(1-H207)) - _xlfn.XLOOKUP(C207,ТаблицаТовары[ID товара],ТаблицаТовары[Себестоимость],0))</f>
        <v>4090</v>
      </c>
      <c r="K207" s="27">
        <f t="shared" si="7"/>
        <v>0.31485758275596615</v>
      </c>
    </row>
    <row r="208" spans="1:11" x14ac:dyDescent="0.25">
      <c r="A208" s="22" t="s">
        <v>273</v>
      </c>
      <c r="B208" s="15">
        <v>45482</v>
      </c>
      <c r="C208" s="22" t="s">
        <v>32</v>
      </c>
      <c r="D208" s="31" t="str">
        <f>_xlfn.XLOOKUP(C208, ТаблицаТовары[ID товара], ТаблицаТовары[Название])</f>
        <v>Рюкзак туристический</v>
      </c>
      <c r="E208" s="17" t="str">
        <f>_xlfn.XLOOKUP(C208,ТаблицаТовары[ID товара],ТаблицаТовары[Категория])</f>
        <v>Аксессуары</v>
      </c>
      <c r="F208" s="29">
        <v>2</v>
      </c>
      <c r="G208" s="19">
        <f>_xlfn.XLOOKUP(C208, ТаблицаТовары[ID товара], ТаблицаТовары[Цена], "Цена не найдена")</f>
        <v>3490</v>
      </c>
      <c r="H208" s="25">
        <f>MAX(
    (MONTH(B208)=11)*0.15,
    (MONTH(B208)=3)*0.1,
    (OR(C208="Т-003",C208="Т-009",C208="Т-018"))*0.12,
    (F208&gt;=3)*0.08,
    (VLOOKUP(C208,ТаблицаТовары[[ID товара]:[Категория]],3,FALSE)="Одежда")*0.1,
    0
)</f>
        <v>0</v>
      </c>
      <c r="I208" s="19">
        <f t="shared" si="6"/>
        <v>6980</v>
      </c>
      <c r="J208" s="19">
        <f>F208*((G208*(1-H208)) - _xlfn.XLOOKUP(C208,ТаблицаТовары[ID товара],ТаблицаТовары[Себестоимость],0))</f>
        <v>3380</v>
      </c>
      <c r="K208" s="27">
        <f t="shared" si="7"/>
        <v>0.48424068767908307</v>
      </c>
    </row>
    <row r="209" spans="1:11" x14ac:dyDescent="0.25">
      <c r="A209" s="22" t="s">
        <v>274</v>
      </c>
      <c r="B209" s="15">
        <v>45645</v>
      </c>
      <c r="C209" s="22" t="s">
        <v>37</v>
      </c>
      <c r="D209" s="31" t="str">
        <f>_xlfn.XLOOKUP(C209, ТаблицаТовары[ID товара], ТаблицаТовары[Название])</f>
        <v>Набор посуды 12 предметов</v>
      </c>
      <c r="E209" s="17" t="str">
        <f>_xlfn.XLOOKUP(C209,ТаблицаТовары[ID товара],ТаблицаТовары[Категория])</f>
        <v>Для дома</v>
      </c>
      <c r="F209" s="29">
        <v>1</v>
      </c>
      <c r="G209" s="19">
        <f>_xlfn.XLOOKUP(C209, ТаблицаТовары[ID товара], ТаблицаТовары[Цена], "Цена не найдена")</f>
        <v>14990</v>
      </c>
      <c r="H209" s="25">
        <f>MAX(
    (MONTH(B209)=11)*0.15,
    (MONTH(B209)=3)*0.1,
    (OR(C209="Т-003",C209="Т-009",C209="Т-018"))*0.12,
    (F209&gt;=3)*0.08,
    (VLOOKUP(C209,ТаблицаТовары[[ID товара]:[Категория]],3,FALSE)="Одежда")*0.1,
    0
)</f>
        <v>0</v>
      </c>
      <c r="I209" s="19">
        <f t="shared" si="6"/>
        <v>14990</v>
      </c>
      <c r="J209" s="19">
        <f>F209*((G209*(1-H209)) - _xlfn.XLOOKUP(C209,ТаблицаТовары[ID товара],ТаблицаТовары[Себестоимость],0))</f>
        <v>6390</v>
      </c>
      <c r="K209" s="27">
        <f t="shared" si="7"/>
        <v>0.42628418945963975</v>
      </c>
    </row>
    <row r="210" spans="1:11" x14ac:dyDescent="0.25">
      <c r="A210" s="22" t="s">
        <v>275</v>
      </c>
      <c r="B210" s="15">
        <v>45453</v>
      </c>
      <c r="C210" s="22" t="s">
        <v>41</v>
      </c>
      <c r="D210" s="31" t="str">
        <f>_xlfn.XLOOKUP(C210, ТаблицаТовары[ID товара], ТаблицаТовары[Название])</f>
        <v>Планшет iPad 10.2"</v>
      </c>
      <c r="E210" s="17" t="str">
        <f>_xlfn.XLOOKUP(C210,ТаблицаТовары[ID товара],ТаблицаТовары[Категория])</f>
        <v>Электроника</v>
      </c>
      <c r="F210" s="29">
        <v>3</v>
      </c>
      <c r="G210" s="19">
        <f>_xlfn.XLOOKUP(C210, ТаблицаТовары[ID товара], ТаблицаТовары[Цена], "Цена не найдена")</f>
        <v>44990</v>
      </c>
      <c r="H210" s="25">
        <f>MAX(
    (MONTH(B210)=11)*0.15,
    (MONTH(B210)=3)*0.1,
    (OR(C210="Т-003",C210="Т-009",C210="Т-018"))*0.12,
    (F210&gt;=3)*0.08,
    (VLOOKUP(C210,ТаблицаТовары[[ID товара]:[Категория]],3,FALSE)="Одежда")*0.1,
    0
)</f>
        <v>0.08</v>
      </c>
      <c r="I210" s="19">
        <f t="shared" si="6"/>
        <v>124172.40000000001</v>
      </c>
      <c r="J210" s="19">
        <f>F210*((G210*(1-H210)) - _xlfn.XLOOKUP(C210,ТаблицаТовары[ID товара],ТаблицаТовары[Себестоимость],0))</f>
        <v>26672.400000000009</v>
      </c>
      <c r="K210" s="27">
        <f t="shared" si="7"/>
        <v>0.21480135682325546</v>
      </c>
    </row>
    <row r="211" spans="1:11" x14ac:dyDescent="0.25">
      <c r="A211" s="22" t="s">
        <v>276</v>
      </c>
      <c r="B211" s="15">
        <v>45651</v>
      </c>
      <c r="C211" s="22" t="s">
        <v>22</v>
      </c>
      <c r="D211" s="31" t="str">
        <f>_xlfn.XLOOKUP(C211, ТаблицаТовары[ID товара], ТаблицаТовары[Название])</f>
        <v>Ноутбук Lenovo IdeaPad</v>
      </c>
      <c r="E211" s="17" t="str">
        <f>_xlfn.XLOOKUP(C211,ТаблицаТовары[ID товара],ТаблицаТовары[Категория])</f>
        <v>Электроника</v>
      </c>
      <c r="F211" s="29">
        <v>1</v>
      </c>
      <c r="G211" s="19">
        <f>_xlfn.XLOOKUP(C211, ТаблицаТовары[ID товара], ТаблицаТовары[Цена], "Цена не найдена")</f>
        <v>64990</v>
      </c>
      <c r="H211" s="25">
        <f>MAX(
    (MONTH(B211)=11)*0.15,
    (MONTH(B211)=3)*0.1,
    (OR(C211="Т-003",C211="Т-009",C211="Т-018"))*0.12,
    (F211&gt;=3)*0.08,
    (VLOOKUP(C211,ТаблицаТовары[[ID товара]:[Категория]],3,FALSE)="Одежда")*0.1,
    0
)</f>
        <v>0</v>
      </c>
      <c r="I211" s="19">
        <f t="shared" si="6"/>
        <v>64990</v>
      </c>
      <c r="J211" s="19">
        <f>F211*((G211*(1-H211)) - _xlfn.XLOOKUP(C211,ТаблицаТовары[ID товара],ТаблицаТовары[Себестоимость],0))</f>
        <v>17190</v>
      </c>
      <c r="K211" s="27">
        <f t="shared" si="7"/>
        <v>0.26450223111247884</v>
      </c>
    </row>
    <row r="212" spans="1:11" x14ac:dyDescent="0.25">
      <c r="A212" s="22" t="s">
        <v>277</v>
      </c>
      <c r="B212" s="15">
        <v>45367</v>
      </c>
      <c r="C212" s="22" t="s">
        <v>30</v>
      </c>
      <c r="D212" s="31" t="str">
        <f>_xlfn.XLOOKUP(C212, ТаблицаТовары[ID товара], ТаблицаТовары[Название])</f>
        <v>Кресло офисное</v>
      </c>
      <c r="E212" s="17" t="str">
        <f>_xlfn.XLOOKUP(C212,ТаблицаТовары[ID товара],ТаблицаТовары[Категория])</f>
        <v>Для дома</v>
      </c>
      <c r="F212" s="29">
        <v>2</v>
      </c>
      <c r="G212" s="19">
        <f>_xlfn.XLOOKUP(C212, ТаблицаТовары[ID товара], ТаблицаТовары[Цена], "Цена не найдена")</f>
        <v>21990</v>
      </c>
      <c r="H212" s="25">
        <f>MAX(
    (MONTH(B212)=11)*0.15,
    (MONTH(B212)=3)*0.1,
    (OR(C212="Т-003",C212="Т-009",C212="Т-018"))*0.12,
    (F212&gt;=3)*0.08,
    (VLOOKUP(C212,ТаблицаТовары[[ID товара]:[Категория]],3,FALSE)="Одежда")*0.1,
    0
)</f>
        <v>0.1</v>
      </c>
      <c r="I212" s="19">
        <f t="shared" si="6"/>
        <v>39582</v>
      </c>
      <c r="J212" s="19">
        <f>F212*((G212*(1-H212)) - _xlfn.XLOOKUP(C212,ТаблицаТовары[ID товара],ТаблицаТовары[Себестоимость],0))</f>
        <v>10582</v>
      </c>
      <c r="K212" s="27">
        <f t="shared" si="7"/>
        <v>0.26734374210499723</v>
      </c>
    </row>
    <row r="213" spans="1:11" x14ac:dyDescent="0.25">
      <c r="A213" s="22" t="s">
        <v>278</v>
      </c>
      <c r="B213" s="15">
        <v>45482</v>
      </c>
      <c r="C213" s="22" t="s">
        <v>35</v>
      </c>
      <c r="D213" s="31" t="str">
        <f>_xlfn.XLOOKUP(C213, ТаблицаТовары[ID товара], ТаблицаТовары[Название])</f>
        <v>Умные часы Apple Watch</v>
      </c>
      <c r="E213" s="17" t="str">
        <f>_xlfn.XLOOKUP(C213,ТаблицаТовары[ID товара],ТаблицаТовары[Категория])</f>
        <v>Электроника</v>
      </c>
      <c r="F213" s="29">
        <v>2</v>
      </c>
      <c r="G213" s="19">
        <f>_xlfn.XLOOKUP(C213, ТаблицаТовары[ID товара], ТаблицаТовары[Цена], "Цена не найдена")</f>
        <v>39990</v>
      </c>
      <c r="H213" s="25">
        <f>MAX(
    (MONTH(B213)=11)*0.15,
    (MONTH(B213)=3)*0.1,
    (OR(C213="Т-003",C213="Т-009",C213="Т-018"))*0.12,
    (F213&gt;=3)*0.08,
    (VLOOKUP(C213,ТаблицаТовары[[ID товара]:[Категория]],3,FALSE)="Одежда")*0.1,
    0
)</f>
        <v>0</v>
      </c>
      <c r="I213" s="19">
        <f t="shared" si="6"/>
        <v>79980</v>
      </c>
      <c r="J213" s="19">
        <f>F213*((G213*(1-H213)) - _xlfn.XLOOKUP(C213,ТаблицаТовары[ID товара],ТаблицаТовары[Себестоимость],0))</f>
        <v>22980</v>
      </c>
      <c r="K213" s="27">
        <f t="shared" si="7"/>
        <v>0.28732183045761439</v>
      </c>
    </row>
    <row r="214" spans="1:11" x14ac:dyDescent="0.25">
      <c r="A214" s="22" t="s">
        <v>279</v>
      </c>
      <c r="B214" s="15">
        <v>45628</v>
      </c>
      <c r="C214" s="22" t="s">
        <v>37</v>
      </c>
      <c r="D214" s="31" t="str">
        <f>_xlfn.XLOOKUP(C214, ТаблицаТовары[ID товара], ТаблицаТовары[Название])</f>
        <v>Набор посуды 12 предметов</v>
      </c>
      <c r="E214" s="17" t="str">
        <f>_xlfn.XLOOKUP(C214,ТаблицаТовары[ID товара],ТаблицаТовары[Категория])</f>
        <v>Для дома</v>
      </c>
      <c r="F214" s="29">
        <v>1</v>
      </c>
      <c r="G214" s="19">
        <f>_xlfn.XLOOKUP(C214, ТаблицаТовары[ID товара], ТаблицаТовары[Цена], "Цена не найдена")</f>
        <v>14990</v>
      </c>
      <c r="H214" s="25">
        <f>MAX(
    (MONTH(B214)=11)*0.15,
    (MONTH(B214)=3)*0.1,
    (OR(C214="Т-003",C214="Т-009",C214="Т-018"))*0.12,
    (F214&gt;=3)*0.08,
    (VLOOKUP(C214,ТаблицаТовары[[ID товара]:[Категория]],3,FALSE)="Одежда")*0.1,
    0
)</f>
        <v>0</v>
      </c>
      <c r="I214" s="19">
        <f t="shared" si="6"/>
        <v>14990</v>
      </c>
      <c r="J214" s="19">
        <f>F214*((G214*(1-H214)) - _xlfn.XLOOKUP(C214,ТаблицаТовары[ID товара],ТаблицаТовары[Себестоимость],0))</f>
        <v>6390</v>
      </c>
      <c r="K214" s="27">
        <f t="shared" si="7"/>
        <v>0.42628418945963975</v>
      </c>
    </row>
    <row r="215" spans="1:11" x14ac:dyDescent="0.25">
      <c r="A215" s="22" t="s">
        <v>280</v>
      </c>
      <c r="B215" s="15">
        <v>45547</v>
      </c>
      <c r="C215" s="22" t="s">
        <v>28</v>
      </c>
      <c r="D215" s="31" t="str">
        <f>_xlfn.XLOOKUP(C215, ТаблицаТовары[ID товара], ТаблицаТовары[Название])</f>
        <v>Монитор 24" Samsung</v>
      </c>
      <c r="E215" s="17" t="str">
        <f>_xlfn.XLOOKUP(C215,ТаблицаТовары[ID товара],ТаблицаТовары[Категория])</f>
        <v>Электроника</v>
      </c>
      <c r="F215" s="29">
        <v>1</v>
      </c>
      <c r="G215" s="19">
        <f>_xlfn.XLOOKUP(C215, ТаблицаТовары[ID товара], ТаблицаТовары[Цена], "Цена не найдена")</f>
        <v>18990</v>
      </c>
      <c r="H215" s="25">
        <f>MAX(
    (MONTH(B215)=11)*0.15,
    (MONTH(B215)=3)*0.1,
    (OR(C215="Т-003",C215="Т-009",C215="Т-018"))*0.12,
    (F215&gt;=3)*0.08,
    (VLOOKUP(C215,ТаблицаТовары[[ID товара]:[Категория]],3,FALSE)="Одежда")*0.1,
    0
)</f>
        <v>0</v>
      </c>
      <c r="I215" s="19">
        <f t="shared" si="6"/>
        <v>18990</v>
      </c>
      <c r="J215" s="19">
        <f>F215*((G215*(1-H215)) - _xlfn.XLOOKUP(C215,ТаблицаТовары[ID товара],ТаблицаТовары[Себестоимость],0))</f>
        <v>5790</v>
      </c>
      <c r="K215" s="27">
        <f t="shared" si="7"/>
        <v>0.30489731437598738</v>
      </c>
    </row>
    <row r="216" spans="1:11" x14ac:dyDescent="0.25">
      <c r="A216" s="22" t="s">
        <v>281</v>
      </c>
      <c r="B216" s="15">
        <v>45535</v>
      </c>
      <c r="C216" s="22" t="s">
        <v>48</v>
      </c>
      <c r="D216" s="31" t="str">
        <f>_xlfn.XLOOKUP(C216, ТаблицаТовары[ID товара], ТаблицаТовары[Название])</f>
        <v>Микрофон для стримов</v>
      </c>
      <c r="E216" s="17" t="str">
        <f>_xlfn.XLOOKUP(C216,ТаблицаТовары[ID товара],ТаблицаТовары[Категория])</f>
        <v>Электроника</v>
      </c>
      <c r="F216" s="29">
        <v>2</v>
      </c>
      <c r="G216" s="19">
        <f>_xlfn.XLOOKUP(C216, ТаблицаТовары[ID товара], ТаблицаТовары[Цена], "Цена не найдена")</f>
        <v>12990</v>
      </c>
      <c r="H216" s="25">
        <f>MAX(
    (MONTH(B216)=11)*0.15,
    (MONTH(B216)=3)*0.1,
    (OR(C216="Т-003",C216="Т-009",C216="Т-018"))*0.12,
    (F216&gt;=3)*0.08,
    (VLOOKUP(C216,ТаблицаТовары[[ID товара]:[Категория]],3,FALSE)="Одежда")*0.1,
    0
)</f>
        <v>0</v>
      </c>
      <c r="I216" s="19">
        <f t="shared" si="6"/>
        <v>25980</v>
      </c>
      <c r="J216" s="19">
        <f>F216*((G216*(1-H216)) - _xlfn.XLOOKUP(C216,ТаблицаТовары[ID товара],ТаблицаТовары[Себестоимость],0))</f>
        <v>8180</v>
      </c>
      <c r="K216" s="27">
        <f t="shared" si="7"/>
        <v>0.31485758275596615</v>
      </c>
    </row>
    <row r="217" spans="1:11" x14ac:dyDescent="0.25">
      <c r="A217" s="22" t="s">
        <v>282</v>
      </c>
      <c r="B217" s="15">
        <v>45502</v>
      </c>
      <c r="C217" s="22" t="s">
        <v>19</v>
      </c>
      <c r="D217" s="31" t="str">
        <f>_xlfn.XLOOKUP(C217, ТаблицаТовары[ID товара], ТаблицаТовары[Название])</f>
        <v>Кроссовки Nike Air Max</v>
      </c>
      <c r="E217" s="17" t="str">
        <f>_xlfn.XLOOKUP(C217,ТаблицаТовары[ID товара],ТаблицаТовары[Категория])</f>
        <v>Обувь</v>
      </c>
      <c r="F217" s="29">
        <v>1</v>
      </c>
      <c r="G217" s="19">
        <f>_xlfn.XLOOKUP(C217, ТаблицаТовары[ID товара], ТаблицаТовары[Цена], "Цена не найдена")</f>
        <v>8990</v>
      </c>
      <c r="H217" s="25">
        <f>MAX(
    (MONTH(B217)=11)*0.15,
    (MONTH(B217)=3)*0.1,
    (OR(C217="Т-003",C217="Т-009",C217="Т-018"))*0.12,
    (F217&gt;=3)*0.08,
    (VLOOKUP(C217,ТаблицаТовары[[ID товара]:[Категория]],3,FALSE)="Одежда")*0.1,
    0
)</f>
        <v>0</v>
      </c>
      <c r="I217" s="19">
        <f t="shared" si="6"/>
        <v>8990</v>
      </c>
      <c r="J217" s="19">
        <f>F217*((G217*(1-H217)) - _xlfn.XLOOKUP(C217,ТаблицаТовары[ID товара],ТаблицаТовары[Себестоимость],0))</f>
        <v>3790</v>
      </c>
      <c r="K217" s="27">
        <f t="shared" si="7"/>
        <v>0.42157953281423804</v>
      </c>
    </row>
    <row r="218" spans="1:11" x14ac:dyDescent="0.25">
      <c r="A218" s="22" t="s">
        <v>283</v>
      </c>
      <c r="B218" s="15">
        <v>45516</v>
      </c>
      <c r="C218" s="22" t="s">
        <v>43</v>
      </c>
      <c r="D218" s="31" t="str">
        <f>_xlfn.XLOOKUP(C218, ТаблицаТовары[ID товара], ТаблицаТовары[Название])</f>
        <v>Беговая дорожка</v>
      </c>
      <c r="E218" s="17" t="str">
        <f>_xlfn.XLOOKUP(C218,ТаблицаТовары[ID товара],ТаблицаТовары[Категория])</f>
        <v>Спорт</v>
      </c>
      <c r="F218" s="29">
        <v>2</v>
      </c>
      <c r="G218" s="19">
        <f>_xlfn.XLOOKUP(C218, ТаблицаТовары[ID товара], ТаблицаТовары[Цена], "Цена не найдена")</f>
        <v>79990</v>
      </c>
      <c r="H218" s="25">
        <f>MAX(
    (MONTH(B218)=11)*0.15,
    (MONTH(B218)=3)*0.1,
    (OR(C218="Т-003",C218="Т-009",C218="Т-018"))*0.12,
    (F218&gt;=3)*0.08,
    (VLOOKUP(C218,ТаблицаТовары[[ID товара]:[Категория]],3,FALSE)="Одежда")*0.1,
    0
)</f>
        <v>0</v>
      </c>
      <c r="I218" s="19">
        <f t="shared" si="6"/>
        <v>159980</v>
      </c>
      <c r="J218" s="19">
        <f>F218*((G218*(1-H218)) - _xlfn.XLOOKUP(C218,ТаблицаТовары[ID товара],ТаблицаТовары[Себестоимость],0))</f>
        <v>42180</v>
      </c>
      <c r="K218" s="27">
        <f t="shared" si="7"/>
        <v>0.26365795724465557</v>
      </c>
    </row>
    <row r="219" spans="1:11" x14ac:dyDescent="0.25">
      <c r="A219" s="22" t="s">
        <v>284</v>
      </c>
      <c r="B219" s="15">
        <v>45594</v>
      </c>
      <c r="C219" s="22" t="s">
        <v>37</v>
      </c>
      <c r="D219" s="31" t="str">
        <f>_xlfn.XLOOKUP(C219, ТаблицаТовары[ID товара], ТаблицаТовары[Название])</f>
        <v>Набор посуды 12 предметов</v>
      </c>
      <c r="E219" s="17" t="str">
        <f>_xlfn.XLOOKUP(C219,ТаблицаТовары[ID товара],ТаблицаТовары[Категория])</f>
        <v>Для дома</v>
      </c>
      <c r="F219" s="29">
        <v>3</v>
      </c>
      <c r="G219" s="19">
        <f>_xlfn.XLOOKUP(C219, ТаблицаТовары[ID товара], ТаблицаТовары[Цена], "Цена не найдена")</f>
        <v>14990</v>
      </c>
      <c r="H219" s="25">
        <f>MAX(
    (MONTH(B219)=11)*0.15,
    (MONTH(B219)=3)*0.1,
    (OR(C219="Т-003",C219="Т-009",C219="Т-018"))*0.12,
    (F219&gt;=3)*0.08,
    (VLOOKUP(C219,ТаблицаТовары[[ID товара]:[Категория]],3,FALSE)="Одежда")*0.1,
    0
)</f>
        <v>0.08</v>
      </c>
      <c r="I219" s="19">
        <f t="shared" si="6"/>
        <v>41372.400000000001</v>
      </c>
      <c r="J219" s="19">
        <f>F219*((G219*(1-H219)) - _xlfn.XLOOKUP(C219,ТаблицаТовары[ID товара],ТаблицаТовары[Себестоимость],0))</f>
        <v>15572.400000000003</v>
      </c>
      <c r="K219" s="27">
        <f t="shared" si="7"/>
        <v>0.37639585810830417</v>
      </c>
    </row>
    <row r="220" spans="1:11" x14ac:dyDescent="0.25">
      <c r="A220" s="22" t="s">
        <v>285</v>
      </c>
      <c r="B220" s="15">
        <v>45441</v>
      </c>
      <c r="C220" s="22" t="s">
        <v>24</v>
      </c>
      <c r="D220" s="31" t="str">
        <f>_xlfn.XLOOKUP(C220, ТаблицаТовары[ID товара], ТаблицаТовары[Название])</f>
        <v>Чайник стеклянный</v>
      </c>
      <c r="E220" s="17" t="str">
        <f>_xlfn.XLOOKUP(C220,ТаблицаТовары[ID товара],ТаблицаТовары[Категория])</f>
        <v>Для дома</v>
      </c>
      <c r="F220" s="29">
        <v>2</v>
      </c>
      <c r="G220" s="19">
        <f>_xlfn.XLOOKUP(C220, ТаблицаТовары[ID товара], ТаблицаТовары[Цена], "Цена не найдена")</f>
        <v>2490</v>
      </c>
      <c r="H220" s="25">
        <f>MAX(
    (MONTH(B220)=11)*0.15,
    (MONTH(B220)=3)*0.1,
    (OR(C220="Т-003",C220="Т-009",C220="Т-018"))*0.12,
    (F220&gt;=3)*0.08,
    (VLOOKUP(C220,ТаблицаТовары[[ID товара]:[Категория]],3,FALSE)="Одежда")*0.1,
    0
)</f>
        <v>0</v>
      </c>
      <c r="I220" s="19">
        <f t="shared" si="6"/>
        <v>4980</v>
      </c>
      <c r="J220" s="19">
        <f>F220*((G220*(1-H220)) - _xlfn.XLOOKUP(C220,ТаблицаТовары[ID товара],ТаблицаТовары[Себестоимость],0))</f>
        <v>2580</v>
      </c>
      <c r="K220" s="27">
        <f t="shared" si="7"/>
        <v>0.51807228915662651</v>
      </c>
    </row>
    <row r="221" spans="1:11" x14ac:dyDescent="0.25">
      <c r="A221" s="22" t="s">
        <v>286</v>
      </c>
      <c r="B221" s="15">
        <v>45417</v>
      </c>
      <c r="C221" s="22" t="s">
        <v>10</v>
      </c>
      <c r="D221" s="31" t="str">
        <f>_xlfn.XLOOKUP(C221, ТаблицаТовары[ID товара], ТаблицаТовары[Название])</f>
        <v>Книга "Мастерство продаж"</v>
      </c>
      <c r="E221" s="17" t="str">
        <f>_xlfn.XLOOKUP(C221,ТаблицаТовары[ID товара],ТаблицаТовары[Категория])</f>
        <v>Книги</v>
      </c>
      <c r="F221" s="29">
        <v>1</v>
      </c>
      <c r="G221" s="19">
        <f>_xlfn.XLOOKUP(C221, ТаблицаТовары[ID товара], ТаблицаТовары[Цена], "Цена не найдена")</f>
        <v>890</v>
      </c>
      <c r="H221" s="25">
        <f>MAX(
    (MONTH(B221)=11)*0.15,
    (MONTH(B221)=3)*0.1,
    (OR(C221="Т-003",C221="Т-009",C221="Т-018"))*0.12,
    (F221&gt;=3)*0.08,
    (VLOOKUP(C221,ТаблицаТовары[[ID товара]:[Категория]],3,FALSE)="Одежда")*0.1,
    0
)</f>
        <v>0.12</v>
      </c>
      <c r="I221" s="19">
        <f t="shared" si="6"/>
        <v>783.2</v>
      </c>
      <c r="J221" s="19">
        <f>F221*((G221*(1-H221)) - _xlfn.XLOOKUP(C221,ТаблицаТовары[ID товара],ТаблицаТовары[Себестоимость],0))</f>
        <v>333.20000000000005</v>
      </c>
      <c r="K221" s="27">
        <f t="shared" si="7"/>
        <v>0.42543411644535245</v>
      </c>
    </row>
    <row r="222" spans="1:11" x14ac:dyDescent="0.25">
      <c r="A222" s="22" t="s">
        <v>287</v>
      </c>
      <c r="B222" s="15">
        <v>45479</v>
      </c>
      <c r="C222" s="22" t="s">
        <v>28</v>
      </c>
      <c r="D222" s="31" t="str">
        <f>_xlfn.XLOOKUP(C222, ТаблицаТовары[ID товара], ТаблицаТовары[Название])</f>
        <v>Монитор 24" Samsung</v>
      </c>
      <c r="E222" s="17" t="str">
        <f>_xlfn.XLOOKUP(C222,ТаблицаТовары[ID товара],ТаблицаТовары[Категория])</f>
        <v>Электроника</v>
      </c>
      <c r="F222" s="29">
        <v>2</v>
      </c>
      <c r="G222" s="19">
        <f>_xlfn.XLOOKUP(C222, ТаблицаТовары[ID товара], ТаблицаТовары[Цена], "Цена не найдена")</f>
        <v>18990</v>
      </c>
      <c r="H222" s="25">
        <f>MAX(
    (MONTH(B222)=11)*0.15,
    (MONTH(B222)=3)*0.1,
    (OR(C222="Т-003",C222="Т-009",C222="Т-018"))*0.12,
    (F222&gt;=3)*0.08,
    (VLOOKUP(C222,ТаблицаТовары[[ID товара]:[Категория]],3,FALSE)="Одежда")*0.1,
    0
)</f>
        <v>0</v>
      </c>
      <c r="I222" s="19">
        <f t="shared" si="6"/>
        <v>37980</v>
      </c>
      <c r="J222" s="19">
        <f>F222*((G222*(1-H222)) - _xlfn.XLOOKUP(C222,ТаблицаТовары[ID товара],ТаблицаТовары[Себестоимость],0))</f>
        <v>11580</v>
      </c>
      <c r="K222" s="27">
        <f t="shared" si="7"/>
        <v>0.30489731437598738</v>
      </c>
    </row>
    <row r="223" spans="1:11" x14ac:dyDescent="0.25">
      <c r="A223" s="22" t="s">
        <v>288</v>
      </c>
      <c r="B223" s="15">
        <v>45470</v>
      </c>
      <c r="C223" s="22" t="s">
        <v>19</v>
      </c>
      <c r="D223" s="31" t="str">
        <f>_xlfn.XLOOKUP(C223, ТаблицаТовары[ID товара], ТаблицаТовары[Название])</f>
        <v>Кроссовки Nike Air Max</v>
      </c>
      <c r="E223" s="17" t="str">
        <f>_xlfn.XLOOKUP(C223,ТаблицаТовары[ID товара],ТаблицаТовары[Категория])</f>
        <v>Обувь</v>
      </c>
      <c r="F223" s="29">
        <v>3</v>
      </c>
      <c r="G223" s="19">
        <f>_xlfn.XLOOKUP(C223, ТаблицаТовары[ID товара], ТаблицаТовары[Цена], "Цена не найдена")</f>
        <v>8990</v>
      </c>
      <c r="H223" s="25">
        <f>MAX(
    (MONTH(B223)=11)*0.15,
    (MONTH(B223)=3)*0.1,
    (OR(C223="Т-003",C223="Т-009",C223="Т-018"))*0.12,
    (F223&gt;=3)*0.08,
    (VLOOKUP(C223,ТаблицаТовары[[ID товара]:[Категория]],3,FALSE)="Одежда")*0.1,
    0
)</f>
        <v>0.08</v>
      </c>
      <c r="I223" s="19">
        <f t="shared" si="6"/>
        <v>24812.400000000001</v>
      </c>
      <c r="J223" s="19">
        <f>F223*((G223*(1-H223)) - _xlfn.XLOOKUP(C223,ТаблицаТовары[ID товара],ТаблицаТовары[Себестоимость],0))</f>
        <v>9212.4000000000033</v>
      </c>
      <c r="K223" s="27">
        <f t="shared" si="7"/>
        <v>0.37128210088504143</v>
      </c>
    </row>
    <row r="224" spans="1:11" x14ac:dyDescent="0.25">
      <c r="A224" s="22" t="s">
        <v>289</v>
      </c>
      <c r="B224" s="15">
        <v>45645</v>
      </c>
      <c r="C224" s="22" t="s">
        <v>8</v>
      </c>
      <c r="D224" s="31" t="str">
        <f>_xlfn.XLOOKUP(C224, ТаблицаТовары[ID товара], ТаблицаТовары[Название])</f>
        <v>Наушники Sony WH-1000XM5</v>
      </c>
      <c r="E224" s="17" t="str">
        <f>_xlfn.XLOOKUP(C224,ТаблицаТовары[ID товара],ТаблицаТовары[Категория])</f>
        <v>Электроника</v>
      </c>
      <c r="F224" s="29">
        <v>2</v>
      </c>
      <c r="G224" s="19">
        <f>_xlfn.XLOOKUP(C224, ТаблицаТовары[ID товара], ТаблицаТовары[Цена], "Цена не найдена")</f>
        <v>26990</v>
      </c>
      <c r="H224" s="25">
        <f>MAX(
    (MONTH(B224)=11)*0.15,
    (MONTH(B224)=3)*0.1,
    (OR(C224="Т-003",C224="Т-009",C224="Т-018"))*0.12,
    (F224&gt;=3)*0.08,
    (VLOOKUP(C224,ТаблицаТовары[[ID товара]:[Категория]],3,FALSE)="Одежда")*0.1,
    0
)</f>
        <v>0</v>
      </c>
      <c r="I224" s="19">
        <f t="shared" si="6"/>
        <v>53980</v>
      </c>
      <c r="J224" s="19">
        <f>F224*((G224*(1-H224)) - _xlfn.XLOOKUP(C224,ТаблицаТовары[ID товара],ТаблицаТовары[Себестоимость],0))</f>
        <v>16180</v>
      </c>
      <c r="K224" s="27">
        <f t="shared" si="7"/>
        <v>0.29974064468321598</v>
      </c>
    </row>
    <row r="225" spans="1:11" x14ac:dyDescent="0.25">
      <c r="A225" s="22" t="s">
        <v>290</v>
      </c>
      <c r="B225" s="15">
        <v>45447</v>
      </c>
      <c r="C225" s="22" t="s">
        <v>48</v>
      </c>
      <c r="D225" s="31" t="str">
        <f>_xlfn.XLOOKUP(C225, ТаблицаТовары[ID товара], ТаблицаТовары[Название])</f>
        <v>Микрофон для стримов</v>
      </c>
      <c r="E225" s="17" t="str">
        <f>_xlfn.XLOOKUP(C225,ТаблицаТовары[ID товара],ТаблицаТовары[Категория])</f>
        <v>Электроника</v>
      </c>
      <c r="F225" s="29">
        <v>1</v>
      </c>
      <c r="G225" s="19">
        <f>_xlfn.XLOOKUP(C225, ТаблицаТовары[ID товара], ТаблицаТовары[Цена], "Цена не найдена")</f>
        <v>12990</v>
      </c>
      <c r="H225" s="25">
        <f>MAX(
    (MONTH(B225)=11)*0.15,
    (MONTH(B225)=3)*0.1,
    (OR(C225="Т-003",C225="Т-009",C225="Т-018"))*0.12,
    (F225&gt;=3)*0.08,
    (VLOOKUP(C225,ТаблицаТовары[[ID товара]:[Категория]],3,FALSE)="Одежда")*0.1,
    0
)</f>
        <v>0</v>
      </c>
      <c r="I225" s="19">
        <f t="shared" si="6"/>
        <v>12990</v>
      </c>
      <c r="J225" s="19">
        <f>F225*((G225*(1-H225)) - _xlfn.XLOOKUP(C225,ТаблицаТовары[ID товара],ТаблицаТовары[Себестоимость],0))</f>
        <v>4090</v>
      </c>
      <c r="K225" s="27">
        <f t="shared" si="7"/>
        <v>0.31485758275596615</v>
      </c>
    </row>
    <row r="226" spans="1:11" x14ac:dyDescent="0.25">
      <c r="A226" s="22" t="s">
        <v>291</v>
      </c>
      <c r="B226" s="15">
        <v>45578</v>
      </c>
      <c r="C226" s="22" t="s">
        <v>43</v>
      </c>
      <c r="D226" s="31" t="str">
        <f>_xlfn.XLOOKUP(C226, ТаблицаТовары[ID товара], ТаблицаТовары[Название])</f>
        <v>Беговая дорожка</v>
      </c>
      <c r="E226" s="17" t="str">
        <f>_xlfn.XLOOKUP(C226,ТаблицаТовары[ID товара],ТаблицаТовары[Категория])</f>
        <v>Спорт</v>
      </c>
      <c r="F226" s="29">
        <v>2</v>
      </c>
      <c r="G226" s="19">
        <f>_xlfn.XLOOKUP(C226, ТаблицаТовары[ID товара], ТаблицаТовары[Цена], "Цена не найдена")</f>
        <v>79990</v>
      </c>
      <c r="H226" s="25">
        <f>MAX(
    (MONTH(B226)=11)*0.15,
    (MONTH(B226)=3)*0.1,
    (OR(C226="Т-003",C226="Т-009",C226="Т-018"))*0.12,
    (F226&gt;=3)*0.08,
    (VLOOKUP(C226,ТаблицаТовары[[ID товара]:[Категория]],3,FALSE)="Одежда")*0.1,
    0
)</f>
        <v>0</v>
      </c>
      <c r="I226" s="19">
        <f t="shared" si="6"/>
        <v>159980</v>
      </c>
      <c r="J226" s="19">
        <f>F226*((G226*(1-H226)) - _xlfn.XLOOKUP(C226,ТаблицаТовары[ID товара],ТаблицаТовары[Себестоимость],0))</f>
        <v>42180</v>
      </c>
      <c r="K226" s="27">
        <f t="shared" si="7"/>
        <v>0.26365795724465557</v>
      </c>
    </row>
    <row r="227" spans="1:11" x14ac:dyDescent="0.25">
      <c r="A227" s="22" t="s">
        <v>292</v>
      </c>
      <c r="B227" s="15">
        <v>45365</v>
      </c>
      <c r="C227" s="22" t="s">
        <v>39</v>
      </c>
      <c r="D227" s="31" t="str">
        <f>_xlfn.XLOOKUP(C227, ТаблицаТовары[ID товара], ТаблицаТовары[Название])</f>
        <v>Джинсы Levi's 501</v>
      </c>
      <c r="E227" s="17" t="str">
        <f>_xlfn.XLOOKUP(C227,ТаблицаТовары[ID товара],ТаблицаТовары[Категория])</f>
        <v>Одежда</v>
      </c>
      <c r="F227" s="29">
        <v>2</v>
      </c>
      <c r="G227" s="19">
        <f>_xlfn.XLOOKUP(C227, ТаблицаТовары[ID товара], ТаблицаТовары[Цена], "Цена не найдена")</f>
        <v>5990</v>
      </c>
      <c r="H227" s="25">
        <f>MAX(
    (MONTH(B227)=11)*0.15,
    (MONTH(B227)=3)*0.1,
    (OR(C227="Т-003",C227="Т-009",C227="Т-018"))*0.12,
    (F227&gt;=3)*0.08,
    (VLOOKUP(C227,ТаблицаТовары[[ID товара]:[Категория]],3,FALSE)="Одежда")*0.1,
    0
)</f>
        <v>0.1</v>
      </c>
      <c r="I227" s="19">
        <f t="shared" si="6"/>
        <v>10782</v>
      </c>
      <c r="J227" s="19">
        <f>F227*((G227*(1-H227)) - _xlfn.XLOOKUP(C227,ТаблицаТовары[ID товара],ТаблицаТовары[Себестоимость],0))</f>
        <v>4982</v>
      </c>
      <c r="K227" s="27">
        <f t="shared" si="7"/>
        <v>0.46206640697458728</v>
      </c>
    </row>
    <row r="228" spans="1:11" x14ac:dyDescent="0.25">
      <c r="A228" s="22" t="s">
        <v>293</v>
      </c>
      <c r="B228" s="15">
        <v>45333</v>
      </c>
      <c r="C228" s="22" t="s">
        <v>22</v>
      </c>
      <c r="D228" s="31" t="str">
        <f>_xlfn.XLOOKUP(C228, ТаблицаТовары[ID товара], ТаблицаТовары[Название])</f>
        <v>Ноутбук Lenovo IdeaPad</v>
      </c>
      <c r="E228" s="17" t="str">
        <f>_xlfn.XLOOKUP(C228,ТаблицаТовары[ID товара],ТаблицаТовары[Категория])</f>
        <v>Электроника</v>
      </c>
      <c r="F228" s="29">
        <v>3</v>
      </c>
      <c r="G228" s="19">
        <f>_xlfn.XLOOKUP(C228, ТаблицаТовары[ID товара], ТаблицаТовары[Цена], "Цена не найдена")</f>
        <v>64990</v>
      </c>
      <c r="H228" s="25">
        <f>MAX(
    (MONTH(B228)=11)*0.15,
    (MONTH(B228)=3)*0.1,
    (OR(C228="Т-003",C228="Т-009",C228="Т-018"))*0.12,
    (F228&gt;=3)*0.08,
    (VLOOKUP(C228,ТаблицаТовары[[ID товара]:[Категория]],3,FALSE)="Одежда")*0.1,
    0
)</f>
        <v>0.08</v>
      </c>
      <c r="I228" s="19">
        <f t="shared" si="6"/>
        <v>179372.4</v>
      </c>
      <c r="J228" s="19">
        <f>F228*((G228*(1-H228)) - _xlfn.XLOOKUP(C228,ТаблицаТовары[ID товара],ТаблицаТовары[Себестоимость],0))</f>
        <v>35972.400000000009</v>
      </c>
      <c r="K228" s="27">
        <f t="shared" si="7"/>
        <v>0.20054590338312922</v>
      </c>
    </row>
    <row r="229" spans="1:11" x14ac:dyDescent="0.25">
      <c r="A229" s="22" t="s">
        <v>294</v>
      </c>
      <c r="B229" s="15">
        <v>45628</v>
      </c>
      <c r="C229" s="22" t="s">
        <v>8</v>
      </c>
      <c r="D229" s="31" t="str">
        <f>_xlfn.XLOOKUP(C229, ТаблицаТовары[ID товара], ТаблицаТовары[Название])</f>
        <v>Наушники Sony WH-1000XM5</v>
      </c>
      <c r="E229" s="17" t="str">
        <f>_xlfn.XLOOKUP(C229,ТаблицаТовары[ID товара],ТаблицаТовары[Категория])</f>
        <v>Электроника</v>
      </c>
      <c r="F229" s="29">
        <v>2</v>
      </c>
      <c r="G229" s="19">
        <f>_xlfn.XLOOKUP(C229, ТаблицаТовары[ID товара], ТаблицаТовары[Цена], "Цена не найдена")</f>
        <v>26990</v>
      </c>
      <c r="H229" s="25">
        <f>MAX(
    (MONTH(B229)=11)*0.15,
    (MONTH(B229)=3)*0.1,
    (OR(C229="Т-003",C229="Т-009",C229="Т-018"))*0.12,
    (F229&gt;=3)*0.08,
    (VLOOKUP(C229,ТаблицаТовары[[ID товара]:[Категория]],3,FALSE)="Одежда")*0.1,
    0
)</f>
        <v>0</v>
      </c>
      <c r="I229" s="19">
        <f t="shared" si="6"/>
        <v>53980</v>
      </c>
      <c r="J229" s="19">
        <f>F229*((G229*(1-H229)) - _xlfn.XLOOKUP(C229,ТаблицаТовары[ID товара],ТаблицаТовары[Себестоимость],0))</f>
        <v>16180</v>
      </c>
      <c r="K229" s="27">
        <f t="shared" si="7"/>
        <v>0.29974064468321598</v>
      </c>
    </row>
    <row r="230" spans="1:11" x14ac:dyDescent="0.25">
      <c r="A230" s="22" t="s">
        <v>295</v>
      </c>
      <c r="B230" s="15">
        <v>45451</v>
      </c>
      <c r="C230" s="22" t="s">
        <v>28</v>
      </c>
      <c r="D230" s="31" t="str">
        <f>_xlfn.XLOOKUP(C230, ТаблицаТовары[ID товара], ТаблицаТовары[Название])</f>
        <v>Монитор 24" Samsung</v>
      </c>
      <c r="E230" s="17" t="str">
        <f>_xlfn.XLOOKUP(C230,ТаблицаТовары[ID товара],ТаблицаТовары[Категория])</f>
        <v>Электроника</v>
      </c>
      <c r="F230" s="29">
        <v>1</v>
      </c>
      <c r="G230" s="19">
        <f>_xlfn.XLOOKUP(C230, ТаблицаТовары[ID товара], ТаблицаТовары[Цена], "Цена не найдена")</f>
        <v>18990</v>
      </c>
      <c r="H230" s="25">
        <f>MAX(
    (MONTH(B230)=11)*0.15,
    (MONTH(B230)=3)*0.1,
    (OR(C230="Т-003",C230="Т-009",C230="Т-018"))*0.12,
    (F230&gt;=3)*0.08,
    (VLOOKUP(C230,ТаблицаТовары[[ID товара]:[Категория]],3,FALSE)="Одежда")*0.1,
    0
)</f>
        <v>0</v>
      </c>
      <c r="I230" s="19">
        <f t="shared" si="6"/>
        <v>18990</v>
      </c>
      <c r="J230" s="19">
        <f>F230*((G230*(1-H230)) - _xlfn.XLOOKUP(C230,ТаблицаТовары[ID товара],ТаблицаТовары[Себестоимость],0))</f>
        <v>5790</v>
      </c>
      <c r="K230" s="27">
        <f t="shared" si="7"/>
        <v>0.30489731437598738</v>
      </c>
    </row>
    <row r="231" spans="1:11" x14ac:dyDescent="0.25">
      <c r="A231" s="22" t="s">
        <v>296</v>
      </c>
      <c r="B231" s="15">
        <v>45333</v>
      </c>
      <c r="C231" s="22" t="s">
        <v>35</v>
      </c>
      <c r="D231" s="31" t="str">
        <f>_xlfn.XLOOKUP(C231, ТаблицаТовары[ID товара], ТаблицаТовары[Название])</f>
        <v>Умные часы Apple Watch</v>
      </c>
      <c r="E231" s="17" t="str">
        <f>_xlfn.XLOOKUP(C231,ТаблицаТовары[ID товара],ТаблицаТовары[Категория])</f>
        <v>Электроника</v>
      </c>
      <c r="F231" s="29">
        <v>1</v>
      </c>
      <c r="G231" s="19">
        <f>_xlfn.XLOOKUP(C231, ТаблицаТовары[ID товара], ТаблицаТовары[Цена], "Цена не найдена")</f>
        <v>39990</v>
      </c>
      <c r="H231" s="25">
        <f>MAX(
    (MONTH(B231)=11)*0.15,
    (MONTH(B231)=3)*0.1,
    (OR(C231="Т-003",C231="Т-009",C231="Т-018"))*0.12,
    (F231&gt;=3)*0.08,
    (VLOOKUP(C231,ТаблицаТовары[[ID товара]:[Категория]],3,FALSE)="Одежда")*0.1,
    0
)</f>
        <v>0</v>
      </c>
      <c r="I231" s="19">
        <f t="shared" si="6"/>
        <v>39990</v>
      </c>
      <c r="J231" s="19">
        <f>F231*((G231*(1-H231)) - _xlfn.XLOOKUP(C231,ТаблицаТовары[ID товара],ТаблицаТовары[Себестоимость],0))</f>
        <v>11490</v>
      </c>
      <c r="K231" s="27">
        <f t="shared" si="7"/>
        <v>0.28732183045761439</v>
      </c>
    </row>
    <row r="232" spans="1:11" x14ac:dyDescent="0.25">
      <c r="A232" s="22" t="s">
        <v>297</v>
      </c>
      <c r="B232" s="15">
        <v>45381</v>
      </c>
      <c r="C232" s="22" t="s">
        <v>19</v>
      </c>
      <c r="D232" s="31" t="str">
        <f>_xlfn.XLOOKUP(C232, ТаблицаТовары[ID товара], ТаблицаТовары[Название])</f>
        <v>Кроссовки Nike Air Max</v>
      </c>
      <c r="E232" s="17" t="str">
        <f>_xlfn.XLOOKUP(C232,ТаблицаТовары[ID товара],ТаблицаТовары[Категория])</f>
        <v>Обувь</v>
      </c>
      <c r="F232" s="29">
        <v>1</v>
      </c>
      <c r="G232" s="19">
        <f>_xlfn.XLOOKUP(C232, ТаблицаТовары[ID товара], ТаблицаТовары[Цена], "Цена не найдена")</f>
        <v>8990</v>
      </c>
      <c r="H232" s="25">
        <f>MAX(
    (MONTH(B232)=11)*0.15,
    (MONTH(B232)=3)*0.1,
    (OR(C232="Т-003",C232="Т-009",C232="Т-018"))*0.12,
    (F232&gt;=3)*0.08,
    (VLOOKUP(C232,ТаблицаТовары[[ID товара]:[Категория]],3,FALSE)="Одежда")*0.1,
    0
)</f>
        <v>0.1</v>
      </c>
      <c r="I232" s="19">
        <f t="shared" si="6"/>
        <v>8091</v>
      </c>
      <c r="J232" s="19">
        <f>F232*((G232*(1-H232)) - _xlfn.XLOOKUP(C232,ТаблицаТовары[ID товара],ТаблицаТовары[Себестоимость],0))</f>
        <v>2891</v>
      </c>
      <c r="K232" s="27">
        <f t="shared" si="7"/>
        <v>0.35731059201582005</v>
      </c>
    </row>
    <row r="233" spans="1:11" x14ac:dyDescent="0.25">
      <c r="A233" s="22" t="s">
        <v>298</v>
      </c>
      <c r="B233" s="15">
        <v>45580</v>
      </c>
      <c r="C233" s="22" t="s">
        <v>32</v>
      </c>
      <c r="D233" s="31" t="str">
        <f>_xlfn.XLOOKUP(C233, ТаблицаТовары[ID товара], ТаблицаТовары[Название])</f>
        <v>Рюкзак туристический</v>
      </c>
      <c r="E233" s="17" t="str">
        <f>_xlfn.XLOOKUP(C233,ТаблицаТовары[ID товара],ТаблицаТовары[Категория])</f>
        <v>Аксессуары</v>
      </c>
      <c r="F233" s="29">
        <v>3</v>
      </c>
      <c r="G233" s="19">
        <f>_xlfn.XLOOKUP(C233, ТаблицаТовары[ID товара], ТаблицаТовары[Цена], "Цена не найдена")</f>
        <v>3490</v>
      </c>
      <c r="H233" s="25">
        <f>MAX(
    (MONTH(B233)=11)*0.15,
    (MONTH(B233)=3)*0.1,
    (OR(C233="Т-003",C233="Т-009",C233="Т-018"))*0.12,
    (F233&gt;=3)*0.08,
    (VLOOKUP(C233,ТаблицаТовары[[ID товара]:[Категория]],3,FALSE)="Одежда")*0.1,
    0
)</f>
        <v>0.08</v>
      </c>
      <c r="I233" s="19">
        <f t="shared" si="6"/>
        <v>9632.4</v>
      </c>
      <c r="J233" s="19">
        <f>F233*((G233*(1-H233)) - _xlfn.XLOOKUP(C233,ТаблицаТовары[ID товара],ТаблицаТовары[Себестоимость],0))</f>
        <v>4232.4000000000005</v>
      </c>
      <c r="K233" s="27">
        <f t="shared" si="7"/>
        <v>0.43939205182509039</v>
      </c>
    </row>
    <row r="234" spans="1:11" x14ac:dyDescent="0.25">
      <c r="A234" s="22" t="s">
        <v>299</v>
      </c>
      <c r="B234" s="15">
        <v>45315</v>
      </c>
      <c r="C234" s="22" t="s">
        <v>37</v>
      </c>
      <c r="D234" s="31" t="str">
        <f>_xlfn.XLOOKUP(C234, ТаблицаТовары[ID товара], ТаблицаТовары[Название])</f>
        <v>Набор посуды 12 предметов</v>
      </c>
      <c r="E234" s="17" t="str">
        <f>_xlfn.XLOOKUP(C234,ТаблицаТовары[ID товара],ТаблицаТовары[Категория])</f>
        <v>Для дома</v>
      </c>
      <c r="F234" s="29">
        <v>3</v>
      </c>
      <c r="G234" s="19">
        <f>_xlfn.XLOOKUP(C234, ТаблицаТовары[ID товара], ТаблицаТовары[Цена], "Цена не найдена")</f>
        <v>14990</v>
      </c>
      <c r="H234" s="25">
        <f>MAX(
    (MONTH(B234)=11)*0.15,
    (MONTH(B234)=3)*0.1,
    (OR(C234="Т-003",C234="Т-009",C234="Т-018"))*0.12,
    (F234&gt;=3)*0.08,
    (VLOOKUP(C234,ТаблицаТовары[[ID товара]:[Категория]],3,FALSE)="Одежда")*0.1,
    0
)</f>
        <v>0.08</v>
      </c>
      <c r="I234" s="19">
        <f t="shared" si="6"/>
        <v>41372.400000000001</v>
      </c>
      <c r="J234" s="19">
        <f>F234*((G234*(1-H234)) - _xlfn.XLOOKUP(C234,ТаблицаТовары[ID товара],ТаблицаТовары[Себестоимость],0))</f>
        <v>15572.400000000003</v>
      </c>
      <c r="K234" s="27">
        <f t="shared" si="7"/>
        <v>0.37639585810830417</v>
      </c>
    </row>
    <row r="235" spans="1:11" x14ac:dyDescent="0.25">
      <c r="A235" s="22" t="s">
        <v>300</v>
      </c>
      <c r="B235" s="15">
        <v>45441</v>
      </c>
      <c r="C235" s="22" t="s">
        <v>22</v>
      </c>
      <c r="D235" s="31" t="str">
        <f>_xlfn.XLOOKUP(C235, ТаблицаТовары[ID товара], ТаблицаТовары[Название])</f>
        <v>Ноутбук Lenovo IdeaPad</v>
      </c>
      <c r="E235" s="17" t="str">
        <f>_xlfn.XLOOKUP(C235,ТаблицаТовары[ID товара],ТаблицаТовары[Категория])</f>
        <v>Электроника</v>
      </c>
      <c r="F235" s="29">
        <v>1</v>
      </c>
      <c r="G235" s="19">
        <f>_xlfn.XLOOKUP(C235, ТаблицаТовары[ID товара], ТаблицаТовары[Цена], "Цена не найдена")</f>
        <v>64990</v>
      </c>
      <c r="H235" s="25">
        <f>MAX(
    (MONTH(B235)=11)*0.15,
    (MONTH(B235)=3)*0.1,
    (OR(C235="Т-003",C235="Т-009",C235="Т-018"))*0.12,
    (F235&gt;=3)*0.08,
    (VLOOKUP(C235,ТаблицаТовары[[ID товара]:[Категория]],3,FALSE)="Одежда")*0.1,
    0
)</f>
        <v>0</v>
      </c>
      <c r="I235" s="19">
        <f t="shared" si="6"/>
        <v>64990</v>
      </c>
      <c r="J235" s="19">
        <f>F235*((G235*(1-H235)) - _xlfn.XLOOKUP(C235,ТаблицаТовары[ID товара],ТаблицаТовары[Себестоимость],0))</f>
        <v>17190</v>
      </c>
      <c r="K235" s="27">
        <f t="shared" si="7"/>
        <v>0.26450223111247884</v>
      </c>
    </row>
    <row r="236" spans="1:11" x14ac:dyDescent="0.25">
      <c r="A236" s="22" t="s">
        <v>301</v>
      </c>
      <c r="B236" s="15">
        <v>45591</v>
      </c>
      <c r="C236" s="22" t="s">
        <v>50</v>
      </c>
      <c r="D236" s="31" t="str">
        <f>_xlfn.XLOOKUP(C236, ТаблицаТовары[ID товара], ТаблицаТовары[Название])</f>
        <v>Йогуртница</v>
      </c>
      <c r="E236" s="17" t="str">
        <f>_xlfn.XLOOKUP(C236,ТаблицаТовары[ID товара],ТаблицаТовары[Категория])</f>
        <v>Для дома</v>
      </c>
      <c r="F236" s="29">
        <v>3</v>
      </c>
      <c r="G236" s="19">
        <f>_xlfn.XLOOKUP(C236, ТаблицаТовары[ID товара], ТаблицаТовары[Цена], "Цена не найдена")</f>
        <v>4990</v>
      </c>
      <c r="H236" s="25">
        <f>MAX(
    (MONTH(B236)=11)*0.15,
    (MONTH(B236)=3)*0.1,
    (OR(C236="Т-003",C236="Т-009",C236="Т-018"))*0.12,
    (F236&gt;=3)*0.08,
    (VLOOKUP(C236,ТаблицаТовары[[ID товара]:[Категория]],3,FALSE)="Одежда")*0.1,
    0
)</f>
        <v>0.08</v>
      </c>
      <c r="I236" s="19">
        <f t="shared" si="6"/>
        <v>13772.400000000001</v>
      </c>
      <c r="J236" s="19">
        <f>F236*((G236*(1-H236)) - _xlfn.XLOOKUP(C236,ТаблицаТовары[ID товара],ТаблицаТовары[Себестоимость],0))</f>
        <v>4172.4000000000005</v>
      </c>
      <c r="K236" s="27">
        <f t="shared" si="7"/>
        <v>0.30295373355406469</v>
      </c>
    </row>
    <row r="237" spans="1:11" x14ac:dyDescent="0.25">
      <c r="A237" s="22" t="s">
        <v>302</v>
      </c>
      <c r="B237" s="15">
        <v>45655</v>
      </c>
      <c r="C237" s="22" t="s">
        <v>30</v>
      </c>
      <c r="D237" s="31" t="str">
        <f>_xlfn.XLOOKUP(C237, ТаблицаТовары[ID товара], ТаблицаТовары[Название])</f>
        <v>Кресло офисное</v>
      </c>
      <c r="E237" s="17" t="str">
        <f>_xlfn.XLOOKUP(C237,ТаблицаТовары[ID товара],ТаблицаТовары[Категория])</f>
        <v>Для дома</v>
      </c>
      <c r="F237" s="29">
        <v>1</v>
      </c>
      <c r="G237" s="19">
        <f>_xlfn.XLOOKUP(C237, ТаблицаТовары[ID товара], ТаблицаТовары[Цена], "Цена не найдена")</f>
        <v>21990</v>
      </c>
      <c r="H237" s="25">
        <f>MAX(
    (MONTH(B237)=11)*0.15,
    (MONTH(B237)=3)*0.1,
    (OR(C237="Т-003",C237="Т-009",C237="Т-018"))*0.12,
    (F237&gt;=3)*0.08,
    (VLOOKUP(C237,ТаблицаТовары[[ID товара]:[Категория]],3,FALSE)="Одежда")*0.1,
    0
)</f>
        <v>0</v>
      </c>
      <c r="I237" s="19">
        <f t="shared" si="6"/>
        <v>21990</v>
      </c>
      <c r="J237" s="19">
        <f>F237*((G237*(1-H237)) - _xlfn.XLOOKUP(C237,ТаблицаТовары[ID товара],ТаблицаТовары[Себестоимость],0))</f>
        <v>7490</v>
      </c>
      <c r="K237" s="27">
        <f t="shared" si="7"/>
        <v>0.34060936789449747</v>
      </c>
    </row>
    <row r="238" spans="1:11" x14ac:dyDescent="0.25">
      <c r="A238" s="22" t="s">
        <v>303</v>
      </c>
      <c r="B238" s="15">
        <v>45316</v>
      </c>
      <c r="C238" s="22" t="s">
        <v>41</v>
      </c>
      <c r="D238" s="31" t="str">
        <f>_xlfn.XLOOKUP(C238, ТаблицаТовары[ID товара], ТаблицаТовары[Название])</f>
        <v>Планшет iPad 10.2"</v>
      </c>
      <c r="E238" s="17" t="str">
        <f>_xlfn.XLOOKUP(C238,ТаблицаТовары[ID товара],ТаблицаТовары[Категория])</f>
        <v>Электроника</v>
      </c>
      <c r="F238" s="29">
        <v>2</v>
      </c>
      <c r="G238" s="19">
        <f>_xlfn.XLOOKUP(C238, ТаблицаТовары[ID товара], ТаблицаТовары[Цена], "Цена не найдена")</f>
        <v>44990</v>
      </c>
      <c r="H238" s="25">
        <f>MAX(
    (MONTH(B238)=11)*0.15,
    (MONTH(B238)=3)*0.1,
    (OR(C238="Т-003",C238="Т-009",C238="Т-018"))*0.12,
    (F238&gt;=3)*0.08,
    (VLOOKUP(C238,ТаблицаТовары[[ID товара]:[Категория]],3,FALSE)="Одежда")*0.1,
    0
)</f>
        <v>0</v>
      </c>
      <c r="I238" s="19">
        <f t="shared" si="6"/>
        <v>89980</v>
      </c>
      <c r="J238" s="19">
        <f>F238*((G238*(1-H238)) - _xlfn.XLOOKUP(C238,ТаблицаТовары[ID товара],ТаблицаТовары[Себестоимость],0))</f>
        <v>24980</v>
      </c>
      <c r="K238" s="27">
        <f t="shared" si="7"/>
        <v>0.27761724827739498</v>
      </c>
    </row>
    <row r="239" spans="1:11" x14ac:dyDescent="0.25">
      <c r="A239" s="22" t="s">
        <v>304</v>
      </c>
      <c r="B239" s="15">
        <v>45419</v>
      </c>
      <c r="C239" s="22" t="s">
        <v>32</v>
      </c>
      <c r="D239" s="31" t="str">
        <f>_xlfn.XLOOKUP(C239, ТаблицаТовары[ID товара], ТаблицаТовары[Название])</f>
        <v>Рюкзак туристический</v>
      </c>
      <c r="E239" s="17" t="str">
        <f>_xlfn.XLOOKUP(C239,ТаблицаТовары[ID товара],ТаблицаТовары[Категория])</f>
        <v>Аксессуары</v>
      </c>
      <c r="F239" s="29">
        <v>3</v>
      </c>
      <c r="G239" s="19">
        <f>_xlfn.XLOOKUP(C239, ТаблицаТовары[ID товара], ТаблицаТовары[Цена], "Цена не найдена")</f>
        <v>3490</v>
      </c>
      <c r="H239" s="25">
        <f>MAX(
    (MONTH(B239)=11)*0.15,
    (MONTH(B239)=3)*0.1,
    (OR(C239="Т-003",C239="Т-009",C239="Т-018"))*0.12,
    (F239&gt;=3)*0.08,
    (VLOOKUP(C239,ТаблицаТовары[[ID товара]:[Категория]],3,FALSE)="Одежда")*0.1,
    0
)</f>
        <v>0.08</v>
      </c>
      <c r="I239" s="19">
        <f t="shared" si="6"/>
        <v>9632.4</v>
      </c>
      <c r="J239" s="19">
        <f>F239*((G239*(1-H239)) - _xlfn.XLOOKUP(C239,ТаблицаТовары[ID товара],ТаблицаТовары[Себестоимость],0))</f>
        <v>4232.4000000000005</v>
      </c>
      <c r="K239" s="27">
        <f t="shared" si="7"/>
        <v>0.43939205182509039</v>
      </c>
    </row>
    <row r="240" spans="1:11" x14ac:dyDescent="0.25">
      <c r="A240" s="22" t="s">
        <v>305</v>
      </c>
      <c r="B240" s="15">
        <v>45592</v>
      </c>
      <c r="C240" s="22" t="s">
        <v>32</v>
      </c>
      <c r="D240" s="31" t="str">
        <f>_xlfn.XLOOKUP(C240, ТаблицаТовары[ID товара], ТаблицаТовары[Название])</f>
        <v>Рюкзак туристический</v>
      </c>
      <c r="E240" s="17" t="str">
        <f>_xlfn.XLOOKUP(C240,ТаблицаТовары[ID товара],ТаблицаТовары[Категория])</f>
        <v>Аксессуары</v>
      </c>
      <c r="F240" s="29">
        <v>2</v>
      </c>
      <c r="G240" s="19">
        <f>_xlfn.XLOOKUP(C240, ТаблицаТовары[ID товара], ТаблицаТовары[Цена], "Цена не найдена")</f>
        <v>3490</v>
      </c>
      <c r="H240" s="25">
        <f>MAX(
    (MONTH(B240)=11)*0.15,
    (MONTH(B240)=3)*0.1,
    (OR(C240="Т-003",C240="Т-009",C240="Т-018"))*0.12,
    (F240&gt;=3)*0.08,
    (VLOOKUP(C240,ТаблицаТовары[[ID товара]:[Категория]],3,FALSE)="Одежда")*0.1,
    0
)</f>
        <v>0</v>
      </c>
      <c r="I240" s="19">
        <f t="shared" si="6"/>
        <v>6980</v>
      </c>
      <c r="J240" s="19">
        <f>F240*((G240*(1-H240)) - _xlfn.XLOOKUP(C240,ТаблицаТовары[ID товара],ТаблицаТовары[Себестоимость],0))</f>
        <v>3380</v>
      </c>
      <c r="K240" s="27">
        <f t="shared" si="7"/>
        <v>0.48424068767908307</v>
      </c>
    </row>
    <row r="241" spans="1:11" x14ac:dyDescent="0.25">
      <c r="A241" s="22" t="s">
        <v>306</v>
      </c>
      <c r="B241" s="15">
        <v>45441</v>
      </c>
      <c r="C241" s="22" t="s">
        <v>5</v>
      </c>
      <c r="D241" s="31" t="str">
        <f>_xlfn.XLOOKUP(C241, ТаблицаТовары[ID товара], ТаблицаТовары[Название])</f>
        <v>Смартфон Galaxy A54</v>
      </c>
      <c r="E241" s="17" t="str">
        <f>_xlfn.XLOOKUP(C241,ТаблицаТовары[ID товара],ТаблицаТовары[Категория])</f>
        <v>Электроника</v>
      </c>
      <c r="F241" s="29">
        <v>2</v>
      </c>
      <c r="G241" s="19">
        <f>_xlfn.XLOOKUP(C241, ТаблицаТовары[ID товара], ТаблицаТовары[Цена], "Цена не найдена")</f>
        <v>29990</v>
      </c>
      <c r="H241" s="25">
        <f>MAX(
    (MONTH(B241)=11)*0.15,
    (MONTH(B241)=3)*0.1,
    (OR(C241="Т-003",C241="Т-009",C241="Т-018"))*0.12,
    (F241&gt;=3)*0.08,
    (VLOOKUP(C241,ТаблицаТовары[[ID товара]:[Категория]],3,FALSE)="Одежда")*0.1,
    0
)</f>
        <v>0</v>
      </c>
      <c r="I241" s="19">
        <f t="shared" si="6"/>
        <v>59980</v>
      </c>
      <c r="J241" s="19">
        <f>F241*((G241*(1-H241)) - _xlfn.XLOOKUP(C241,ТаблицаТовары[ID товара],ТаблицаТовары[Себестоимость],0))</f>
        <v>16980</v>
      </c>
      <c r="K241" s="27">
        <f t="shared" si="7"/>
        <v>0.28309436478826278</v>
      </c>
    </row>
    <row r="242" spans="1:11" x14ac:dyDescent="0.25">
      <c r="A242" s="22" t="s">
        <v>307</v>
      </c>
      <c r="B242" s="15">
        <v>45635</v>
      </c>
      <c r="C242" s="22" t="s">
        <v>39</v>
      </c>
      <c r="D242" s="31" t="str">
        <f>_xlfn.XLOOKUP(C242, ТаблицаТовары[ID товара], ТаблицаТовары[Название])</f>
        <v>Джинсы Levi's 501</v>
      </c>
      <c r="E242" s="17" t="str">
        <f>_xlfn.XLOOKUP(C242,ТаблицаТовары[ID товара],ТаблицаТовары[Категория])</f>
        <v>Одежда</v>
      </c>
      <c r="F242" s="29">
        <v>3</v>
      </c>
      <c r="G242" s="19">
        <f>_xlfn.XLOOKUP(C242, ТаблицаТовары[ID товара], ТаблицаТовары[Цена], "Цена не найдена")</f>
        <v>5990</v>
      </c>
      <c r="H242" s="25">
        <f>MAX(
    (MONTH(B242)=11)*0.15,
    (MONTH(B242)=3)*0.1,
    (OR(C242="Т-003",C242="Т-009",C242="Т-018"))*0.12,
    (F242&gt;=3)*0.08,
    (VLOOKUP(C242,ТаблицаТовары[[ID товара]:[Категория]],3,FALSE)="Одежда")*0.1,
    0
)</f>
        <v>0.1</v>
      </c>
      <c r="I242" s="19">
        <f t="shared" si="6"/>
        <v>16173</v>
      </c>
      <c r="J242" s="19">
        <f>F242*((G242*(1-H242)) - _xlfn.XLOOKUP(C242,ТаблицаТовары[ID товара],ТаблицаТовары[Себестоимость],0))</f>
        <v>7473</v>
      </c>
      <c r="K242" s="27">
        <f t="shared" si="7"/>
        <v>0.46206640697458728</v>
      </c>
    </row>
    <row r="243" spans="1:11" x14ac:dyDescent="0.25">
      <c r="A243" s="22" t="s">
        <v>308</v>
      </c>
      <c r="B243" s="15">
        <v>45543</v>
      </c>
      <c r="C243" s="22" t="s">
        <v>41</v>
      </c>
      <c r="D243" s="31" t="str">
        <f>_xlfn.XLOOKUP(C243, ТаблицаТовары[ID товара], ТаблицаТовары[Название])</f>
        <v>Планшет iPad 10.2"</v>
      </c>
      <c r="E243" s="17" t="str">
        <f>_xlfn.XLOOKUP(C243,ТаблицаТовары[ID товара],ТаблицаТовары[Категория])</f>
        <v>Электроника</v>
      </c>
      <c r="F243" s="29">
        <v>3</v>
      </c>
      <c r="G243" s="19">
        <f>_xlfn.XLOOKUP(C243, ТаблицаТовары[ID товара], ТаблицаТовары[Цена], "Цена не найдена")</f>
        <v>44990</v>
      </c>
      <c r="H243" s="25">
        <f>MAX(
    (MONTH(B243)=11)*0.15,
    (MONTH(B243)=3)*0.1,
    (OR(C243="Т-003",C243="Т-009",C243="Т-018"))*0.12,
    (F243&gt;=3)*0.08,
    (VLOOKUP(C243,ТаблицаТовары[[ID товара]:[Категория]],3,FALSE)="Одежда")*0.1,
    0
)</f>
        <v>0.08</v>
      </c>
      <c r="I243" s="19">
        <f t="shared" si="6"/>
        <v>124172.40000000001</v>
      </c>
      <c r="J243" s="19">
        <f>F243*((G243*(1-H243)) - _xlfn.XLOOKUP(C243,ТаблицаТовары[ID товара],ТаблицаТовары[Себестоимость],0))</f>
        <v>26672.400000000009</v>
      </c>
      <c r="K243" s="27">
        <f t="shared" si="7"/>
        <v>0.21480135682325546</v>
      </c>
    </row>
    <row r="244" spans="1:11" x14ac:dyDescent="0.25">
      <c r="A244" s="22" t="s">
        <v>309</v>
      </c>
      <c r="B244" s="15">
        <v>45360</v>
      </c>
      <c r="C244" s="22" t="s">
        <v>10</v>
      </c>
      <c r="D244" s="31" t="str">
        <f>_xlfn.XLOOKUP(C244, ТаблицаТовары[ID товара], ТаблицаТовары[Название])</f>
        <v>Книга "Мастерство продаж"</v>
      </c>
      <c r="E244" s="17" t="str">
        <f>_xlfn.XLOOKUP(C244,ТаблицаТовары[ID товара],ТаблицаТовары[Категория])</f>
        <v>Книги</v>
      </c>
      <c r="F244" s="29">
        <v>2</v>
      </c>
      <c r="G244" s="19">
        <f>_xlfn.XLOOKUP(C244, ТаблицаТовары[ID товара], ТаблицаТовары[Цена], "Цена не найдена")</f>
        <v>890</v>
      </c>
      <c r="H244" s="25">
        <f>MAX(
    (MONTH(B244)=11)*0.15,
    (MONTH(B244)=3)*0.1,
    (OR(C244="Т-003",C244="Т-009",C244="Т-018"))*0.12,
    (F244&gt;=3)*0.08,
    (VLOOKUP(C244,ТаблицаТовары[[ID товара]:[Категория]],3,FALSE)="Одежда")*0.1,
    0
)</f>
        <v>0.12</v>
      </c>
      <c r="I244" s="19">
        <f t="shared" si="6"/>
        <v>1566.4</v>
      </c>
      <c r="J244" s="19">
        <f>F244*((G244*(1-H244)) - _xlfn.XLOOKUP(C244,ТаблицаТовары[ID товара],ТаблицаТовары[Себестоимость],0))</f>
        <v>666.40000000000009</v>
      </c>
      <c r="K244" s="27">
        <f t="shared" si="7"/>
        <v>0.42543411644535245</v>
      </c>
    </row>
    <row r="245" spans="1:11" x14ac:dyDescent="0.25">
      <c r="A245" s="22" t="s">
        <v>310</v>
      </c>
      <c r="B245" s="15">
        <v>45383</v>
      </c>
      <c r="C245" s="22" t="s">
        <v>16</v>
      </c>
      <c r="D245" s="31" t="str">
        <f>_xlfn.XLOOKUP(C245, ТаблицаТовары[ID товара], ТаблицаТовары[Название])</f>
        <v>Кофемашина DeLonghi</v>
      </c>
      <c r="E245" s="17" t="str">
        <f>_xlfn.XLOOKUP(C245,ТаблицаТовары[ID товара],ТаблицаТовары[Категория])</f>
        <v>Для дома</v>
      </c>
      <c r="F245" s="29">
        <v>2</v>
      </c>
      <c r="G245" s="19">
        <f>_xlfn.XLOOKUP(C245, ТаблицаТовары[ID товара], ТаблицаТовары[Цена], "Цена не найдена")</f>
        <v>45990</v>
      </c>
      <c r="H245" s="25">
        <f>MAX(
    (MONTH(B245)=11)*0.15,
    (MONTH(B245)=3)*0.1,
    (OR(C245="Т-003",C245="Т-009",C245="Т-018"))*0.12,
    (F245&gt;=3)*0.08,
    (VLOOKUP(C245,ТаблицаТовары[[ID товара]:[Категория]],3,FALSE)="Одежда")*0.1,
    0
)</f>
        <v>0</v>
      </c>
      <c r="I245" s="19">
        <f t="shared" si="6"/>
        <v>91980</v>
      </c>
      <c r="J245" s="19">
        <f>F245*((G245*(1-H245)) - _xlfn.XLOOKUP(C245,ТаблицаТовары[ID товара],ТаблицаТовары[Себестоимость],0))</f>
        <v>27180</v>
      </c>
      <c r="K245" s="27">
        <f t="shared" si="7"/>
        <v>0.29549902152641877</v>
      </c>
    </row>
    <row r="246" spans="1:11" x14ac:dyDescent="0.25">
      <c r="A246" s="22" t="s">
        <v>311</v>
      </c>
      <c r="B246" s="15">
        <v>45312</v>
      </c>
      <c r="C246" s="22" t="s">
        <v>43</v>
      </c>
      <c r="D246" s="31" t="str">
        <f>_xlfn.XLOOKUP(C246, ТаблицаТовары[ID товара], ТаблицаТовары[Название])</f>
        <v>Беговая дорожка</v>
      </c>
      <c r="E246" s="17" t="str">
        <f>_xlfn.XLOOKUP(C246,ТаблицаТовары[ID товара],ТаблицаТовары[Категория])</f>
        <v>Спорт</v>
      </c>
      <c r="F246" s="29">
        <v>3</v>
      </c>
      <c r="G246" s="19">
        <f>_xlfn.XLOOKUP(C246, ТаблицаТовары[ID товара], ТаблицаТовары[Цена], "Цена не найдена")</f>
        <v>79990</v>
      </c>
      <c r="H246" s="25">
        <f>MAX(
    (MONTH(B246)=11)*0.15,
    (MONTH(B246)=3)*0.1,
    (OR(C246="Т-003",C246="Т-009",C246="Т-018"))*0.12,
    (F246&gt;=3)*0.08,
    (VLOOKUP(C246,ТаблицаТовары[[ID товара]:[Категория]],3,FALSE)="Одежда")*0.1,
    0
)</f>
        <v>0.08</v>
      </c>
      <c r="I246" s="19">
        <f t="shared" si="6"/>
        <v>220772.40000000002</v>
      </c>
      <c r="J246" s="19">
        <f>F246*((G246*(1-H246)) - _xlfn.XLOOKUP(C246,ТаблицаТовары[ID товара],ТаблицаТовары[Себестоимость],0))</f>
        <v>44072.400000000009</v>
      </c>
      <c r="K246" s="27">
        <f t="shared" si="7"/>
        <v>0.19962821439636477</v>
      </c>
    </row>
    <row r="247" spans="1:11" x14ac:dyDescent="0.25">
      <c r="A247" s="22" t="s">
        <v>312</v>
      </c>
      <c r="B247" s="15">
        <v>45522</v>
      </c>
      <c r="C247" s="22" t="s">
        <v>10</v>
      </c>
      <c r="D247" s="31" t="str">
        <f>_xlfn.XLOOKUP(C247, ТаблицаТовары[ID товара], ТаблицаТовары[Название])</f>
        <v>Книга "Мастерство продаж"</v>
      </c>
      <c r="E247" s="17" t="str">
        <f>_xlfn.XLOOKUP(C247,ТаблицаТовары[ID товара],ТаблицаТовары[Категория])</f>
        <v>Книги</v>
      </c>
      <c r="F247" s="29">
        <v>1</v>
      </c>
      <c r="G247" s="19">
        <f>_xlfn.XLOOKUP(C247, ТаблицаТовары[ID товара], ТаблицаТовары[Цена], "Цена не найдена")</f>
        <v>890</v>
      </c>
      <c r="H247" s="25">
        <f>MAX(
    (MONTH(B247)=11)*0.15,
    (MONTH(B247)=3)*0.1,
    (OR(C247="Т-003",C247="Т-009",C247="Т-018"))*0.12,
    (F247&gt;=3)*0.08,
    (VLOOKUP(C247,ТаблицаТовары[[ID товара]:[Категория]],3,FALSE)="Одежда")*0.1,
    0
)</f>
        <v>0.12</v>
      </c>
      <c r="I247" s="19">
        <f t="shared" si="6"/>
        <v>783.2</v>
      </c>
      <c r="J247" s="19">
        <f>F247*((G247*(1-H247)) - _xlfn.XLOOKUP(C247,ТаблицаТовары[ID товара],ТаблицаТовары[Себестоимость],0))</f>
        <v>333.20000000000005</v>
      </c>
      <c r="K247" s="27">
        <f t="shared" si="7"/>
        <v>0.42543411644535245</v>
      </c>
    </row>
    <row r="248" spans="1:11" x14ac:dyDescent="0.25">
      <c r="A248" s="22" t="s">
        <v>313</v>
      </c>
      <c r="B248" s="15">
        <v>45418</v>
      </c>
      <c r="C248" s="22" t="s">
        <v>8</v>
      </c>
      <c r="D248" s="31" t="str">
        <f>_xlfn.XLOOKUP(C248, ТаблицаТовары[ID товара], ТаблицаТовары[Название])</f>
        <v>Наушники Sony WH-1000XM5</v>
      </c>
      <c r="E248" s="17" t="str">
        <f>_xlfn.XLOOKUP(C248,ТаблицаТовары[ID товара],ТаблицаТовары[Категория])</f>
        <v>Электроника</v>
      </c>
      <c r="F248" s="29">
        <v>1</v>
      </c>
      <c r="G248" s="19">
        <f>_xlfn.XLOOKUP(C248, ТаблицаТовары[ID товара], ТаблицаТовары[Цена], "Цена не найдена")</f>
        <v>26990</v>
      </c>
      <c r="H248" s="25">
        <f>MAX(
    (MONTH(B248)=11)*0.15,
    (MONTH(B248)=3)*0.1,
    (OR(C248="Т-003",C248="Т-009",C248="Т-018"))*0.12,
    (F248&gt;=3)*0.08,
    (VLOOKUP(C248,ТаблицаТовары[[ID товара]:[Категория]],3,FALSE)="Одежда")*0.1,
    0
)</f>
        <v>0</v>
      </c>
      <c r="I248" s="19">
        <f t="shared" si="6"/>
        <v>26990</v>
      </c>
      <c r="J248" s="19">
        <f>F248*((G248*(1-H248)) - _xlfn.XLOOKUP(C248,ТаблицаТовары[ID товара],ТаблицаТовары[Себестоимость],0))</f>
        <v>8090</v>
      </c>
      <c r="K248" s="27">
        <f t="shared" si="7"/>
        <v>0.29974064468321598</v>
      </c>
    </row>
    <row r="249" spans="1:11" x14ac:dyDescent="0.25">
      <c r="A249" s="22" t="s">
        <v>314</v>
      </c>
      <c r="B249" s="15">
        <v>45497</v>
      </c>
      <c r="C249" s="22" t="s">
        <v>43</v>
      </c>
      <c r="D249" s="31" t="str">
        <f>_xlfn.XLOOKUP(C249, ТаблицаТовары[ID товара], ТаблицаТовары[Название])</f>
        <v>Беговая дорожка</v>
      </c>
      <c r="E249" s="17" t="str">
        <f>_xlfn.XLOOKUP(C249,ТаблицаТовары[ID товара],ТаблицаТовары[Категория])</f>
        <v>Спорт</v>
      </c>
      <c r="F249" s="29">
        <v>2</v>
      </c>
      <c r="G249" s="19">
        <f>_xlfn.XLOOKUP(C249, ТаблицаТовары[ID товара], ТаблицаТовары[Цена], "Цена не найдена")</f>
        <v>79990</v>
      </c>
      <c r="H249" s="25">
        <f>MAX(
    (MONTH(B249)=11)*0.15,
    (MONTH(B249)=3)*0.1,
    (OR(C249="Т-003",C249="Т-009",C249="Т-018"))*0.12,
    (F249&gt;=3)*0.08,
    (VLOOKUP(C249,ТаблицаТовары[[ID товара]:[Категория]],3,FALSE)="Одежда")*0.1,
    0
)</f>
        <v>0</v>
      </c>
      <c r="I249" s="19">
        <f t="shared" si="6"/>
        <v>159980</v>
      </c>
      <c r="J249" s="19">
        <f>F249*((G249*(1-H249)) - _xlfn.XLOOKUP(C249,ТаблицаТовары[ID товара],ТаблицаТовары[Себестоимость],0))</f>
        <v>42180</v>
      </c>
      <c r="K249" s="27">
        <f t="shared" si="7"/>
        <v>0.26365795724465557</v>
      </c>
    </row>
    <row r="250" spans="1:11" x14ac:dyDescent="0.25">
      <c r="A250" s="22" t="s">
        <v>315</v>
      </c>
      <c r="B250" s="15">
        <v>45483</v>
      </c>
      <c r="C250" s="22" t="s">
        <v>39</v>
      </c>
      <c r="D250" s="31" t="str">
        <f>_xlfn.XLOOKUP(C250, ТаблицаТовары[ID товара], ТаблицаТовары[Название])</f>
        <v>Джинсы Levi's 501</v>
      </c>
      <c r="E250" s="17" t="str">
        <f>_xlfn.XLOOKUP(C250,ТаблицаТовары[ID товара],ТаблицаТовары[Категория])</f>
        <v>Одежда</v>
      </c>
      <c r="F250" s="29">
        <v>1</v>
      </c>
      <c r="G250" s="19">
        <f>_xlfn.XLOOKUP(C250, ТаблицаТовары[ID товара], ТаблицаТовары[Цена], "Цена не найдена")</f>
        <v>5990</v>
      </c>
      <c r="H250" s="25">
        <f>MAX(
    (MONTH(B250)=11)*0.15,
    (MONTH(B250)=3)*0.1,
    (OR(C250="Т-003",C250="Т-009",C250="Т-018"))*0.12,
    (F250&gt;=3)*0.08,
    (VLOOKUP(C250,ТаблицаТовары[[ID товара]:[Категория]],3,FALSE)="Одежда")*0.1,
    0
)</f>
        <v>0.1</v>
      </c>
      <c r="I250" s="19">
        <f t="shared" si="6"/>
        <v>5391</v>
      </c>
      <c r="J250" s="19">
        <f>F250*((G250*(1-H250)) - _xlfn.XLOOKUP(C250,ТаблицаТовары[ID товара],ТаблицаТовары[Себестоимость],0))</f>
        <v>2491</v>
      </c>
      <c r="K250" s="27">
        <f t="shared" si="7"/>
        <v>0.46206640697458728</v>
      </c>
    </row>
    <row r="251" spans="1:11" x14ac:dyDescent="0.25">
      <c r="A251" s="22" t="s">
        <v>316</v>
      </c>
      <c r="B251" s="15">
        <v>45636</v>
      </c>
      <c r="C251" s="22" t="s">
        <v>37</v>
      </c>
      <c r="D251" s="31" t="str">
        <f>_xlfn.XLOOKUP(C251, ТаблицаТовары[ID товара], ТаблицаТовары[Название])</f>
        <v>Набор посуды 12 предметов</v>
      </c>
      <c r="E251" s="17" t="str">
        <f>_xlfn.XLOOKUP(C251,ТаблицаТовары[ID товара],ТаблицаТовары[Категория])</f>
        <v>Для дома</v>
      </c>
      <c r="F251" s="29">
        <v>1</v>
      </c>
      <c r="G251" s="19">
        <f>_xlfn.XLOOKUP(C251, ТаблицаТовары[ID товара], ТаблицаТовары[Цена], "Цена не найдена")</f>
        <v>14990</v>
      </c>
      <c r="H251" s="25">
        <f>MAX(
    (MONTH(B251)=11)*0.15,
    (MONTH(B251)=3)*0.1,
    (OR(C251="Т-003",C251="Т-009",C251="Т-018"))*0.12,
    (F251&gt;=3)*0.08,
    (VLOOKUP(C251,ТаблицаТовары[[ID товара]:[Категория]],3,FALSE)="Одежда")*0.1,
    0
)</f>
        <v>0</v>
      </c>
      <c r="I251" s="19">
        <f t="shared" si="6"/>
        <v>14990</v>
      </c>
      <c r="J251" s="19">
        <f>F251*((G251*(1-H251)) - _xlfn.XLOOKUP(C251,ТаблицаТовары[ID товара],ТаблицаТовары[Себестоимость],0))</f>
        <v>6390</v>
      </c>
      <c r="K251" s="27">
        <f t="shared" si="7"/>
        <v>0.42628418945963975</v>
      </c>
    </row>
    <row r="252" spans="1:11" x14ac:dyDescent="0.25">
      <c r="A252" s="22" t="s">
        <v>317</v>
      </c>
      <c r="B252" s="15">
        <v>45649</v>
      </c>
      <c r="C252" s="22" t="s">
        <v>30</v>
      </c>
      <c r="D252" s="31" t="str">
        <f>_xlfn.XLOOKUP(C252, ТаблицаТовары[ID товара], ТаблицаТовары[Название])</f>
        <v>Кресло офисное</v>
      </c>
      <c r="E252" s="17" t="str">
        <f>_xlfn.XLOOKUP(C252,ТаблицаТовары[ID товара],ТаблицаТовары[Категория])</f>
        <v>Для дома</v>
      </c>
      <c r="F252" s="29">
        <v>2</v>
      </c>
      <c r="G252" s="19">
        <f>_xlfn.XLOOKUP(C252, ТаблицаТовары[ID товара], ТаблицаТовары[Цена], "Цена не найдена")</f>
        <v>21990</v>
      </c>
      <c r="H252" s="25">
        <f>MAX(
    (MONTH(B252)=11)*0.15,
    (MONTH(B252)=3)*0.1,
    (OR(C252="Т-003",C252="Т-009",C252="Т-018"))*0.12,
    (F252&gt;=3)*0.08,
    (VLOOKUP(C252,ТаблицаТовары[[ID товара]:[Категория]],3,FALSE)="Одежда")*0.1,
    0
)</f>
        <v>0</v>
      </c>
      <c r="I252" s="19">
        <f t="shared" si="6"/>
        <v>43980</v>
      </c>
      <c r="J252" s="19">
        <f>F252*((G252*(1-H252)) - _xlfn.XLOOKUP(C252,ТаблицаТовары[ID товара],ТаблицаТовары[Себестоимость],0))</f>
        <v>14980</v>
      </c>
      <c r="K252" s="27">
        <f t="shared" si="7"/>
        <v>0.34060936789449747</v>
      </c>
    </row>
    <row r="253" spans="1:11" x14ac:dyDescent="0.25">
      <c r="A253" s="22" t="s">
        <v>318</v>
      </c>
      <c r="B253" s="15">
        <v>45359</v>
      </c>
      <c r="C253" s="22" t="s">
        <v>28</v>
      </c>
      <c r="D253" s="31" t="str">
        <f>_xlfn.XLOOKUP(C253, ТаблицаТовары[ID товара], ТаблицаТовары[Название])</f>
        <v>Монитор 24" Samsung</v>
      </c>
      <c r="E253" s="17" t="str">
        <f>_xlfn.XLOOKUP(C253,ТаблицаТовары[ID товара],ТаблицаТовары[Категория])</f>
        <v>Электроника</v>
      </c>
      <c r="F253" s="29">
        <v>1</v>
      </c>
      <c r="G253" s="19">
        <f>_xlfn.XLOOKUP(C253, ТаблицаТовары[ID товара], ТаблицаТовары[Цена], "Цена не найдена")</f>
        <v>18990</v>
      </c>
      <c r="H253" s="25">
        <f>MAX(
    (MONTH(B253)=11)*0.15,
    (MONTH(B253)=3)*0.1,
    (OR(C253="Т-003",C253="Т-009",C253="Т-018"))*0.12,
    (F253&gt;=3)*0.08,
    (VLOOKUP(C253,ТаблицаТовары[[ID товара]:[Категория]],3,FALSE)="Одежда")*0.1,
    0
)</f>
        <v>0.1</v>
      </c>
      <c r="I253" s="19">
        <f t="shared" si="6"/>
        <v>17091</v>
      </c>
      <c r="J253" s="19">
        <f>F253*((G253*(1-H253)) - _xlfn.XLOOKUP(C253,ТаблицаТовары[ID товара],ТаблицаТовары[Себестоимость],0))</f>
        <v>3891</v>
      </c>
      <c r="K253" s="27">
        <f t="shared" si="7"/>
        <v>0.22766368263998596</v>
      </c>
    </row>
    <row r="254" spans="1:11" x14ac:dyDescent="0.25">
      <c r="A254" s="22" t="s">
        <v>319</v>
      </c>
      <c r="B254" s="15">
        <v>45430</v>
      </c>
      <c r="C254" s="22" t="s">
        <v>26</v>
      </c>
      <c r="D254" s="31" t="str">
        <f>_xlfn.XLOOKUP(C254, ТаблицаТовары[ID товара], ТаблицаТовары[Название])</f>
        <v>Футболка хлопковая</v>
      </c>
      <c r="E254" s="17" t="str">
        <f>_xlfn.XLOOKUP(C254,ТаблицаТовары[ID товара],ТаблицаТовары[Категория])</f>
        <v>Одежда</v>
      </c>
      <c r="F254" s="29">
        <v>2</v>
      </c>
      <c r="G254" s="19">
        <f>_xlfn.XLOOKUP(C254, ТаблицаТовары[ID товара], ТаблицаТовары[Цена], "Цена не найдена")</f>
        <v>990</v>
      </c>
      <c r="H254" s="25">
        <f>MAX(
    (MONTH(B254)=11)*0.15,
    (MONTH(B254)=3)*0.1,
    (OR(C254="Т-003",C254="Т-009",C254="Т-018"))*0.12,
    (F254&gt;=3)*0.08,
    (VLOOKUP(C254,ТаблицаТовары[[ID товара]:[Категория]],3,FALSE)="Одежда")*0.1,
    0
)</f>
        <v>0.12</v>
      </c>
      <c r="I254" s="19">
        <f t="shared" si="6"/>
        <v>1742.4</v>
      </c>
      <c r="J254" s="19">
        <f>F254*((G254*(1-H254)) - _xlfn.XLOOKUP(C254,ТаблицаТовары[ID товара],ТаблицаТовары[Себестоимость],0))</f>
        <v>1042.4000000000001</v>
      </c>
      <c r="K254" s="27">
        <f t="shared" si="7"/>
        <v>0.59825528007346196</v>
      </c>
    </row>
    <row r="255" spans="1:11" x14ac:dyDescent="0.25">
      <c r="A255" s="22" t="s">
        <v>320</v>
      </c>
      <c r="B255" s="15">
        <v>45298</v>
      </c>
      <c r="C255" s="22" t="s">
        <v>13</v>
      </c>
      <c r="D255" s="31" t="str">
        <f>_xlfn.XLOOKUP(C255, ТаблицаТовары[ID товара], ТаблицаТовары[Название])</f>
        <v>Куртка зимняя North Face</v>
      </c>
      <c r="E255" s="17" t="str">
        <f>_xlfn.XLOOKUP(C255,ТаблицаТовары[ID товара],ТаблицаТовары[Категория])</f>
        <v>Одежда</v>
      </c>
      <c r="F255" s="29">
        <v>1</v>
      </c>
      <c r="G255" s="19">
        <f>_xlfn.XLOOKUP(C255, ТаблицаТовары[ID товара], ТаблицаТовары[Цена], "Цена не найдена")</f>
        <v>12990</v>
      </c>
      <c r="H255" s="25">
        <f>MAX(
    (MONTH(B255)=11)*0.15,
    (MONTH(B255)=3)*0.1,
    (OR(C255="Т-003",C255="Т-009",C255="Т-018"))*0.12,
    (F255&gt;=3)*0.08,
    (VLOOKUP(C255,ТаблицаТовары[[ID товара]:[Категория]],3,FALSE)="Одежда")*0.1,
    0
)</f>
        <v>0.1</v>
      </c>
      <c r="I255" s="19">
        <f t="shared" si="6"/>
        <v>11691</v>
      </c>
      <c r="J255" s="19">
        <f>F255*((G255*(1-H255)) - _xlfn.XLOOKUP(C255,ТаблицаТовары[ID товара],ТаблицаТовары[Себестоимость],0))</f>
        <v>4191</v>
      </c>
      <c r="K255" s="27">
        <f t="shared" si="7"/>
        <v>0.35848088273030537</v>
      </c>
    </row>
    <row r="256" spans="1:11" x14ac:dyDescent="0.25">
      <c r="A256" s="22" t="s">
        <v>321</v>
      </c>
      <c r="B256" s="15">
        <v>45437</v>
      </c>
      <c r="C256" s="22" t="s">
        <v>37</v>
      </c>
      <c r="D256" s="31" t="str">
        <f>_xlfn.XLOOKUP(C256, ТаблицаТовары[ID товара], ТаблицаТовары[Название])</f>
        <v>Набор посуды 12 предметов</v>
      </c>
      <c r="E256" s="17" t="str">
        <f>_xlfn.XLOOKUP(C256,ТаблицаТовары[ID товара],ТаблицаТовары[Категория])</f>
        <v>Для дома</v>
      </c>
      <c r="F256" s="29">
        <v>2</v>
      </c>
      <c r="G256" s="19">
        <f>_xlfn.XLOOKUP(C256, ТаблицаТовары[ID товара], ТаблицаТовары[Цена], "Цена не найдена")</f>
        <v>14990</v>
      </c>
      <c r="H256" s="25">
        <f>MAX(
    (MONTH(B256)=11)*0.15,
    (MONTH(B256)=3)*0.1,
    (OR(C256="Т-003",C256="Т-009",C256="Т-018"))*0.12,
    (F256&gt;=3)*0.08,
    (VLOOKUP(C256,ТаблицаТовары[[ID товара]:[Категория]],3,FALSE)="Одежда")*0.1,
    0
)</f>
        <v>0</v>
      </c>
      <c r="I256" s="19">
        <f t="shared" si="6"/>
        <v>29980</v>
      </c>
      <c r="J256" s="19">
        <f>F256*((G256*(1-H256)) - _xlfn.XLOOKUP(C256,ТаблицаТовары[ID товара],ТаблицаТовары[Себестоимость],0))</f>
        <v>12780</v>
      </c>
      <c r="K256" s="27">
        <f t="shared" si="7"/>
        <v>0.42628418945963975</v>
      </c>
    </row>
    <row r="257" spans="1:11" x14ac:dyDescent="0.25">
      <c r="A257" s="22" t="s">
        <v>322</v>
      </c>
      <c r="B257" s="15">
        <v>45488</v>
      </c>
      <c r="C257" s="22" t="s">
        <v>48</v>
      </c>
      <c r="D257" s="31" t="str">
        <f>_xlfn.XLOOKUP(C257, ТаблицаТовары[ID товара], ТаблицаТовары[Название])</f>
        <v>Микрофон для стримов</v>
      </c>
      <c r="E257" s="17" t="str">
        <f>_xlfn.XLOOKUP(C257,ТаблицаТовары[ID товара],ТаблицаТовары[Категория])</f>
        <v>Электроника</v>
      </c>
      <c r="F257" s="29">
        <v>1</v>
      </c>
      <c r="G257" s="19">
        <f>_xlfn.XLOOKUP(C257, ТаблицаТовары[ID товара], ТаблицаТовары[Цена], "Цена не найдена")</f>
        <v>12990</v>
      </c>
      <c r="H257" s="25">
        <f>MAX(
    (MONTH(B257)=11)*0.15,
    (MONTH(B257)=3)*0.1,
    (OR(C257="Т-003",C257="Т-009",C257="Т-018"))*0.12,
    (F257&gt;=3)*0.08,
    (VLOOKUP(C257,ТаблицаТовары[[ID товара]:[Категория]],3,FALSE)="Одежда")*0.1,
    0
)</f>
        <v>0</v>
      </c>
      <c r="I257" s="19">
        <f t="shared" si="6"/>
        <v>12990</v>
      </c>
      <c r="J257" s="19">
        <f>F257*((G257*(1-H257)) - _xlfn.XLOOKUP(C257,ТаблицаТовары[ID товара],ТаблицаТовары[Себестоимость],0))</f>
        <v>4090</v>
      </c>
      <c r="K257" s="27">
        <f t="shared" si="7"/>
        <v>0.31485758275596615</v>
      </c>
    </row>
    <row r="258" spans="1:11" x14ac:dyDescent="0.25">
      <c r="A258" s="22" t="s">
        <v>323</v>
      </c>
      <c r="B258" s="15">
        <v>45514</v>
      </c>
      <c r="C258" s="22" t="s">
        <v>48</v>
      </c>
      <c r="D258" s="31" t="str">
        <f>_xlfn.XLOOKUP(C258, ТаблицаТовары[ID товара], ТаблицаТовары[Название])</f>
        <v>Микрофон для стримов</v>
      </c>
      <c r="E258" s="17" t="str">
        <f>_xlfn.XLOOKUP(C258,ТаблицаТовары[ID товара],ТаблицаТовары[Категория])</f>
        <v>Электроника</v>
      </c>
      <c r="F258" s="29">
        <v>3</v>
      </c>
      <c r="G258" s="19">
        <f>_xlfn.XLOOKUP(C258, ТаблицаТовары[ID товара], ТаблицаТовары[Цена], "Цена не найдена")</f>
        <v>12990</v>
      </c>
      <c r="H258" s="25">
        <f>MAX(
    (MONTH(B258)=11)*0.15,
    (MONTH(B258)=3)*0.1,
    (OR(C258="Т-003",C258="Т-009",C258="Т-018"))*0.12,
    (F258&gt;=3)*0.08,
    (VLOOKUP(C258,ТаблицаТовары[[ID товара]:[Категория]],3,FALSE)="Одежда")*0.1,
    0
)</f>
        <v>0.08</v>
      </c>
      <c r="I258" s="19">
        <f t="shared" si="6"/>
        <v>35852.400000000001</v>
      </c>
      <c r="J258" s="19">
        <f>F258*((G258*(1-H258)) - _xlfn.XLOOKUP(C258,ТаблицаТовары[ID товара],ТаблицаТовары[Себестоимость],0))</f>
        <v>9152.4000000000033</v>
      </c>
      <c r="K258" s="27">
        <f t="shared" si="7"/>
        <v>0.25527998125648499</v>
      </c>
    </row>
    <row r="259" spans="1:11" x14ac:dyDescent="0.25">
      <c r="A259" s="22" t="s">
        <v>324</v>
      </c>
      <c r="B259" s="15">
        <v>45330</v>
      </c>
      <c r="C259" s="22" t="s">
        <v>39</v>
      </c>
      <c r="D259" s="31" t="str">
        <f>_xlfn.XLOOKUP(C259, ТаблицаТовары[ID товара], ТаблицаТовары[Название])</f>
        <v>Джинсы Levi's 501</v>
      </c>
      <c r="E259" s="17" t="str">
        <f>_xlfn.XLOOKUP(C259,ТаблицаТовары[ID товара],ТаблицаТовары[Категория])</f>
        <v>Одежда</v>
      </c>
      <c r="F259" s="29">
        <v>2</v>
      </c>
      <c r="G259" s="19">
        <f>_xlfn.XLOOKUP(C259, ТаблицаТовары[ID товара], ТаблицаТовары[Цена], "Цена не найдена")</f>
        <v>5990</v>
      </c>
      <c r="H259" s="25">
        <f>MAX(
    (MONTH(B259)=11)*0.15,
    (MONTH(B259)=3)*0.1,
    (OR(C259="Т-003",C259="Т-009",C259="Т-018"))*0.12,
    (F259&gt;=3)*0.08,
    (VLOOKUP(C259,ТаблицаТовары[[ID товара]:[Категория]],3,FALSE)="Одежда")*0.1,
    0
)</f>
        <v>0.1</v>
      </c>
      <c r="I259" s="19">
        <f t="shared" ref="I259:I322" si="8">F259*G259*(1-H259)</f>
        <v>10782</v>
      </c>
      <c r="J259" s="19">
        <f>F259*((G259*(1-H259)) - _xlfn.XLOOKUP(C259,ТаблицаТовары[ID товара],ТаблицаТовары[Себестоимость],0))</f>
        <v>4982</v>
      </c>
      <c r="K259" s="27">
        <f t="shared" ref="K259:K322" si="9">IFERROR(J259/I259, 0)</f>
        <v>0.46206640697458728</v>
      </c>
    </row>
    <row r="260" spans="1:11" x14ac:dyDescent="0.25">
      <c r="A260" s="22" t="s">
        <v>325</v>
      </c>
      <c r="B260" s="15">
        <v>45373</v>
      </c>
      <c r="C260" s="22" t="s">
        <v>8</v>
      </c>
      <c r="D260" s="31" t="str">
        <f>_xlfn.XLOOKUP(C260, ТаблицаТовары[ID товара], ТаблицаТовары[Название])</f>
        <v>Наушники Sony WH-1000XM5</v>
      </c>
      <c r="E260" s="17" t="str">
        <f>_xlfn.XLOOKUP(C260,ТаблицаТовары[ID товара],ТаблицаТовары[Категория])</f>
        <v>Электроника</v>
      </c>
      <c r="F260" s="29">
        <v>1</v>
      </c>
      <c r="G260" s="19">
        <f>_xlfn.XLOOKUP(C260, ТаблицаТовары[ID товара], ТаблицаТовары[Цена], "Цена не найдена")</f>
        <v>26990</v>
      </c>
      <c r="H260" s="25">
        <f>MAX(
    (MONTH(B260)=11)*0.15,
    (MONTH(B260)=3)*0.1,
    (OR(C260="Т-003",C260="Т-009",C260="Т-018"))*0.12,
    (F260&gt;=3)*0.08,
    (VLOOKUP(C260,ТаблицаТовары[[ID товара]:[Категория]],3,FALSE)="Одежда")*0.1,
    0
)</f>
        <v>0.1</v>
      </c>
      <c r="I260" s="19">
        <f t="shared" si="8"/>
        <v>24291</v>
      </c>
      <c r="J260" s="19">
        <f>F260*((G260*(1-H260)) - _xlfn.XLOOKUP(C260,ТаблицаТовары[ID товара],ТаблицаТовары[Себестоимость],0))</f>
        <v>5391</v>
      </c>
      <c r="K260" s="27">
        <f t="shared" si="9"/>
        <v>0.22193404964801777</v>
      </c>
    </row>
    <row r="261" spans="1:11" x14ac:dyDescent="0.25">
      <c r="A261" s="22" t="s">
        <v>326</v>
      </c>
      <c r="B261" s="15">
        <v>45541</v>
      </c>
      <c r="C261" s="22" t="s">
        <v>16</v>
      </c>
      <c r="D261" s="31" t="str">
        <f>_xlfn.XLOOKUP(C261, ТаблицаТовары[ID товара], ТаблицаТовары[Название])</f>
        <v>Кофемашина DeLonghi</v>
      </c>
      <c r="E261" s="17" t="str">
        <f>_xlfn.XLOOKUP(C261,ТаблицаТовары[ID товара],ТаблицаТовары[Категория])</f>
        <v>Для дома</v>
      </c>
      <c r="F261" s="29">
        <v>1</v>
      </c>
      <c r="G261" s="19">
        <f>_xlfn.XLOOKUP(C261, ТаблицаТовары[ID товара], ТаблицаТовары[Цена], "Цена не найдена")</f>
        <v>45990</v>
      </c>
      <c r="H261" s="25">
        <f>MAX(
    (MONTH(B261)=11)*0.15,
    (MONTH(B261)=3)*0.1,
    (OR(C261="Т-003",C261="Т-009",C261="Т-018"))*0.12,
    (F261&gt;=3)*0.08,
    (VLOOKUP(C261,ТаблицаТовары[[ID товара]:[Категория]],3,FALSE)="Одежда")*0.1,
    0
)</f>
        <v>0</v>
      </c>
      <c r="I261" s="19">
        <f t="shared" si="8"/>
        <v>45990</v>
      </c>
      <c r="J261" s="19">
        <f>F261*((G261*(1-H261)) - _xlfn.XLOOKUP(C261,ТаблицаТовары[ID товара],ТаблицаТовары[Себестоимость],0))</f>
        <v>13590</v>
      </c>
      <c r="K261" s="27">
        <f t="shared" si="9"/>
        <v>0.29549902152641877</v>
      </c>
    </row>
    <row r="262" spans="1:11" x14ac:dyDescent="0.25">
      <c r="A262" s="22" t="s">
        <v>327</v>
      </c>
      <c r="B262" s="15">
        <v>45504</v>
      </c>
      <c r="C262" s="22" t="s">
        <v>24</v>
      </c>
      <c r="D262" s="31" t="str">
        <f>_xlfn.XLOOKUP(C262, ТаблицаТовары[ID товара], ТаблицаТовары[Название])</f>
        <v>Чайник стеклянный</v>
      </c>
      <c r="E262" s="17" t="str">
        <f>_xlfn.XLOOKUP(C262,ТаблицаТовары[ID товара],ТаблицаТовары[Категория])</f>
        <v>Для дома</v>
      </c>
      <c r="F262" s="29">
        <v>1</v>
      </c>
      <c r="G262" s="19">
        <f>_xlfn.XLOOKUP(C262, ТаблицаТовары[ID товара], ТаблицаТовары[Цена], "Цена не найдена")</f>
        <v>2490</v>
      </c>
      <c r="H262" s="25">
        <f>MAX(
    (MONTH(B262)=11)*0.15,
    (MONTH(B262)=3)*0.1,
    (OR(C262="Т-003",C262="Т-009",C262="Т-018"))*0.12,
    (F262&gt;=3)*0.08,
    (VLOOKUP(C262,ТаблицаТовары[[ID товара]:[Категория]],3,FALSE)="Одежда")*0.1,
    0
)</f>
        <v>0</v>
      </c>
      <c r="I262" s="19">
        <f t="shared" si="8"/>
        <v>2490</v>
      </c>
      <c r="J262" s="19">
        <f>F262*((G262*(1-H262)) - _xlfn.XLOOKUP(C262,ТаблицаТовары[ID товара],ТаблицаТовары[Себестоимость],0))</f>
        <v>1290</v>
      </c>
      <c r="K262" s="27">
        <f t="shared" si="9"/>
        <v>0.51807228915662651</v>
      </c>
    </row>
    <row r="263" spans="1:11" x14ac:dyDescent="0.25">
      <c r="A263" s="22" t="s">
        <v>328</v>
      </c>
      <c r="B263" s="15">
        <v>45395</v>
      </c>
      <c r="C263" s="22" t="s">
        <v>16</v>
      </c>
      <c r="D263" s="31" t="str">
        <f>_xlfn.XLOOKUP(C263, ТаблицаТовары[ID товара], ТаблицаТовары[Название])</f>
        <v>Кофемашина DeLonghi</v>
      </c>
      <c r="E263" s="17" t="str">
        <f>_xlfn.XLOOKUP(C263,ТаблицаТовары[ID товара],ТаблицаТовары[Категория])</f>
        <v>Для дома</v>
      </c>
      <c r="F263" s="29">
        <v>3</v>
      </c>
      <c r="G263" s="19">
        <f>_xlfn.XLOOKUP(C263, ТаблицаТовары[ID товара], ТаблицаТовары[Цена], "Цена не найдена")</f>
        <v>45990</v>
      </c>
      <c r="H263" s="25">
        <f>MAX(
    (MONTH(B263)=11)*0.15,
    (MONTH(B263)=3)*0.1,
    (OR(C263="Т-003",C263="Т-009",C263="Т-018"))*0.12,
    (F263&gt;=3)*0.08,
    (VLOOKUP(C263,ТаблицаТовары[[ID товара]:[Категория]],3,FALSE)="Одежда")*0.1,
    0
)</f>
        <v>0.08</v>
      </c>
      <c r="I263" s="19">
        <f t="shared" si="8"/>
        <v>126932.40000000001</v>
      </c>
      <c r="J263" s="19">
        <f>F263*((G263*(1-H263)) - _xlfn.XLOOKUP(C263,ТаблицаТовары[ID товара],ТаблицаТовары[Себестоимость],0))</f>
        <v>29732.400000000009</v>
      </c>
      <c r="K263" s="27">
        <f t="shared" si="9"/>
        <v>0.23423806687654222</v>
      </c>
    </row>
    <row r="264" spans="1:11" x14ac:dyDescent="0.25">
      <c r="A264" s="22" t="s">
        <v>329</v>
      </c>
      <c r="B264" s="15">
        <v>45339</v>
      </c>
      <c r="C264" s="22" t="s">
        <v>10</v>
      </c>
      <c r="D264" s="31" t="str">
        <f>_xlfn.XLOOKUP(C264, ТаблицаТовары[ID товара], ТаблицаТовары[Название])</f>
        <v>Книга "Мастерство продаж"</v>
      </c>
      <c r="E264" s="17" t="str">
        <f>_xlfn.XLOOKUP(C264,ТаблицаТовары[ID товара],ТаблицаТовары[Категория])</f>
        <v>Книги</v>
      </c>
      <c r="F264" s="29">
        <v>2</v>
      </c>
      <c r="G264" s="19">
        <f>_xlfn.XLOOKUP(C264, ТаблицаТовары[ID товара], ТаблицаТовары[Цена], "Цена не найдена")</f>
        <v>890</v>
      </c>
      <c r="H264" s="25">
        <f>MAX(
    (MONTH(B264)=11)*0.15,
    (MONTH(B264)=3)*0.1,
    (OR(C264="Т-003",C264="Т-009",C264="Т-018"))*0.12,
    (F264&gt;=3)*0.08,
    (VLOOKUP(C264,ТаблицаТовары[[ID товара]:[Категория]],3,FALSE)="Одежда")*0.1,
    0
)</f>
        <v>0.12</v>
      </c>
      <c r="I264" s="19">
        <f t="shared" si="8"/>
        <v>1566.4</v>
      </c>
      <c r="J264" s="19">
        <f>F264*((G264*(1-H264)) - _xlfn.XLOOKUP(C264,ТаблицаТовары[ID товара],ТаблицаТовары[Себестоимость],0))</f>
        <v>666.40000000000009</v>
      </c>
      <c r="K264" s="27">
        <f t="shared" si="9"/>
        <v>0.42543411644535245</v>
      </c>
    </row>
    <row r="265" spans="1:11" x14ac:dyDescent="0.25">
      <c r="A265" s="22" t="s">
        <v>330</v>
      </c>
      <c r="B265" s="15">
        <v>45595</v>
      </c>
      <c r="C265" s="22" t="s">
        <v>16</v>
      </c>
      <c r="D265" s="31" t="str">
        <f>_xlfn.XLOOKUP(C265, ТаблицаТовары[ID товара], ТаблицаТовары[Название])</f>
        <v>Кофемашина DeLonghi</v>
      </c>
      <c r="E265" s="17" t="str">
        <f>_xlfn.XLOOKUP(C265,ТаблицаТовары[ID товара],ТаблицаТовары[Категория])</f>
        <v>Для дома</v>
      </c>
      <c r="F265" s="29">
        <v>3</v>
      </c>
      <c r="G265" s="19">
        <f>_xlfn.XLOOKUP(C265, ТаблицаТовары[ID товара], ТаблицаТовары[Цена], "Цена не найдена")</f>
        <v>45990</v>
      </c>
      <c r="H265" s="25">
        <f>MAX(
    (MONTH(B265)=11)*0.15,
    (MONTH(B265)=3)*0.1,
    (OR(C265="Т-003",C265="Т-009",C265="Т-018"))*0.12,
    (F265&gt;=3)*0.08,
    (VLOOKUP(C265,ТаблицаТовары[[ID товара]:[Категория]],3,FALSE)="Одежда")*0.1,
    0
)</f>
        <v>0.08</v>
      </c>
      <c r="I265" s="19">
        <f t="shared" si="8"/>
        <v>126932.40000000001</v>
      </c>
      <c r="J265" s="19">
        <f>F265*((G265*(1-H265)) - _xlfn.XLOOKUP(C265,ТаблицаТовары[ID товара],ТаблицаТовары[Себестоимость],0))</f>
        <v>29732.400000000009</v>
      </c>
      <c r="K265" s="27">
        <f t="shared" si="9"/>
        <v>0.23423806687654222</v>
      </c>
    </row>
    <row r="266" spans="1:11" x14ac:dyDescent="0.25">
      <c r="A266" s="22" t="s">
        <v>331</v>
      </c>
      <c r="B266" s="15">
        <v>45354</v>
      </c>
      <c r="C266" s="22" t="s">
        <v>26</v>
      </c>
      <c r="D266" s="31" t="str">
        <f>_xlfn.XLOOKUP(C266, ТаблицаТовары[ID товара], ТаблицаТовары[Название])</f>
        <v>Футболка хлопковая</v>
      </c>
      <c r="E266" s="17" t="str">
        <f>_xlfn.XLOOKUP(C266,ТаблицаТовары[ID товара],ТаблицаТовары[Категория])</f>
        <v>Одежда</v>
      </c>
      <c r="F266" s="29">
        <v>2</v>
      </c>
      <c r="G266" s="19">
        <f>_xlfn.XLOOKUP(C266, ТаблицаТовары[ID товара], ТаблицаТовары[Цена], "Цена не найдена")</f>
        <v>990</v>
      </c>
      <c r="H266" s="25">
        <f>MAX(
    (MONTH(B266)=11)*0.15,
    (MONTH(B266)=3)*0.1,
    (OR(C266="Т-003",C266="Т-009",C266="Т-018"))*0.12,
    (F266&gt;=3)*0.08,
    (VLOOKUP(C266,ТаблицаТовары[[ID товара]:[Категория]],3,FALSE)="Одежда")*0.1,
    0
)</f>
        <v>0.12</v>
      </c>
      <c r="I266" s="19">
        <f t="shared" si="8"/>
        <v>1742.4</v>
      </c>
      <c r="J266" s="19">
        <f>F266*((G266*(1-H266)) - _xlfn.XLOOKUP(C266,ТаблицаТовары[ID товара],ТаблицаТовары[Себестоимость],0))</f>
        <v>1042.4000000000001</v>
      </c>
      <c r="K266" s="27">
        <f t="shared" si="9"/>
        <v>0.59825528007346196</v>
      </c>
    </row>
    <row r="267" spans="1:11" x14ac:dyDescent="0.25">
      <c r="A267" s="22" t="s">
        <v>332</v>
      </c>
      <c r="B267" s="15">
        <v>45502</v>
      </c>
      <c r="C267" s="22" t="s">
        <v>50</v>
      </c>
      <c r="D267" s="31" t="str">
        <f>_xlfn.XLOOKUP(C267, ТаблицаТовары[ID товара], ТаблицаТовары[Название])</f>
        <v>Йогуртница</v>
      </c>
      <c r="E267" s="17" t="str">
        <f>_xlfn.XLOOKUP(C267,ТаблицаТовары[ID товара],ТаблицаТовары[Категория])</f>
        <v>Для дома</v>
      </c>
      <c r="F267" s="29">
        <v>2</v>
      </c>
      <c r="G267" s="19">
        <f>_xlfn.XLOOKUP(C267, ТаблицаТовары[ID товара], ТаблицаТовары[Цена], "Цена не найдена")</f>
        <v>4990</v>
      </c>
      <c r="H267" s="25">
        <f>MAX(
    (MONTH(B267)=11)*0.15,
    (MONTH(B267)=3)*0.1,
    (OR(C267="Т-003",C267="Т-009",C267="Т-018"))*0.12,
    (F267&gt;=3)*0.08,
    (VLOOKUP(C267,ТаблицаТовары[[ID товара]:[Категория]],3,FALSE)="Одежда")*0.1,
    0
)</f>
        <v>0</v>
      </c>
      <c r="I267" s="19">
        <f t="shared" si="8"/>
        <v>9980</v>
      </c>
      <c r="J267" s="19">
        <f>F267*((G267*(1-H267)) - _xlfn.XLOOKUP(C267,ТаблицаТовары[ID товара],ТаблицаТовары[Себестоимость],0))</f>
        <v>3580</v>
      </c>
      <c r="K267" s="27">
        <f t="shared" si="9"/>
        <v>0.3587174348697395</v>
      </c>
    </row>
    <row r="268" spans="1:11" x14ac:dyDescent="0.25">
      <c r="A268" s="22" t="s">
        <v>333</v>
      </c>
      <c r="B268" s="15">
        <v>45405</v>
      </c>
      <c r="C268" s="22" t="s">
        <v>13</v>
      </c>
      <c r="D268" s="31" t="str">
        <f>_xlfn.XLOOKUP(C268, ТаблицаТовары[ID товара], ТаблицаТовары[Название])</f>
        <v>Куртка зимняя North Face</v>
      </c>
      <c r="E268" s="17" t="str">
        <f>_xlfn.XLOOKUP(C268,ТаблицаТовары[ID товара],ТаблицаТовары[Категория])</f>
        <v>Одежда</v>
      </c>
      <c r="F268" s="29">
        <v>2</v>
      </c>
      <c r="G268" s="19">
        <f>_xlfn.XLOOKUP(C268, ТаблицаТовары[ID товара], ТаблицаТовары[Цена], "Цена не найдена")</f>
        <v>12990</v>
      </c>
      <c r="H268" s="25">
        <f>MAX(
    (MONTH(B268)=11)*0.15,
    (MONTH(B268)=3)*0.1,
    (OR(C268="Т-003",C268="Т-009",C268="Т-018"))*0.12,
    (F268&gt;=3)*0.08,
    (VLOOKUP(C268,ТаблицаТовары[[ID товара]:[Категория]],3,FALSE)="Одежда")*0.1,
    0
)</f>
        <v>0.1</v>
      </c>
      <c r="I268" s="19">
        <f t="shared" si="8"/>
        <v>23382</v>
      </c>
      <c r="J268" s="19">
        <f>F268*((G268*(1-H268)) - _xlfn.XLOOKUP(C268,ТаблицаТовары[ID товара],ТаблицаТовары[Себестоимость],0))</f>
        <v>8382</v>
      </c>
      <c r="K268" s="27">
        <f t="shared" si="9"/>
        <v>0.35848088273030537</v>
      </c>
    </row>
    <row r="269" spans="1:11" x14ac:dyDescent="0.25">
      <c r="A269" s="22" t="s">
        <v>334</v>
      </c>
      <c r="B269" s="15">
        <v>45555</v>
      </c>
      <c r="C269" s="22" t="s">
        <v>22</v>
      </c>
      <c r="D269" s="31" t="str">
        <f>_xlfn.XLOOKUP(C269, ТаблицаТовары[ID товара], ТаблицаТовары[Название])</f>
        <v>Ноутбук Lenovo IdeaPad</v>
      </c>
      <c r="E269" s="17" t="str">
        <f>_xlfn.XLOOKUP(C269,ТаблицаТовары[ID товара],ТаблицаТовары[Категория])</f>
        <v>Электроника</v>
      </c>
      <c r="F269" s="29">
        <v>3</v>
      </c>
      <c r="G269" s="19">
        <f>_xlfn.XLOOKUP(C269, ТаблицаТовары[ID товара], ТаблицаТовары[Цена], "Цена не найдена")</f>
        <v>64990</v>
      </c>
      <c r="H269" s="25">
        <f>MAX(
    (MONTH(B269)=11)*0.15,
    (MONTH(B269)=3)*0.1,
    (OR(C269="Т-003",C269="Т-009",C269="Т-018"))*0.12,
    (F269&gt;=3)*0.08,
    (VLOOKUP(C269,ТаблицаТовары[[ID товара]:[Категория]],3,FALSE)="Одежда")*0.1,
    0
)</f>
        <v>0.08</v>
      </c>
      <c r="I269" s="19">
        <f t="shared" si="8"/>
        <v>179372.4</v>
      </c>
      <c r="J269" s="19">
        <f>F269*((G269*(1-H269)) - _xlfn.XLOOKUP(C269,ТаблицаТовары[ID товара],ТаблицаТовары[Себестоимость],0))</f>
        <v>35972.400000000009</v>
      </c>
      <c r="K269" s="27">
        <f t="shared" si="9"/>
        <v>0.20054590338312922</v>
      </c>
    </row>
    <row r="270" spans="1:11" x14ac:dyDescent="0.25">
      <c r="A270" s="22" t="s">
        <v>335</v>
      </c>
      <c r="B270" s="15">
        <v>45562</v>
      </c>
      <c r="C270" s="22" t="s">
        <v>22</v>
      </c>
      <c r="D270" s="31" t="str">
        <f>_xlfn.XLOOKUP(C270, ТаблицаТовары[ID товара], ТаблицаТовары[Название])</f>
        <v>Ноутбук Lenovo IdeaPad</v>
      </c>
      <c r="E270" s="17" t="str">
        <f>_xlfn.XLOOKUP(C270,ТаблицаТовары[ID товара],ТаблицаТовары[Категория])</f>
        <v>Электроника</v>
      </c>
      <c r="F270" s="29">
        <v>1</v>
      </c>
      <c r="G270" s="19">
        <f>_xlfn.XLOOKUP(C270, ТаблицаТовары[ID товара], ТаблицаТовары[Цена], "Цена не найдена")</f>
        <v>64990</v>
      </c>
      <c r="H270" s="25">
        <f>MAX(
    (MONTH(B270)=11)*0.15,
    (MONTH(B270)=3)*0.1,
    (OR(C270="Т-003",C270="Т-009",C270="Т-018"))*0.12,
    (F270&gt;=3)*0.08,
    (VLOOKUP(C270,ТаблицаТовары[[ID товара]:[Категория]],3,FALSE)="Одежда")*0.1,
    0
)</f>
        <v>0</v>
      </c>
      <c r="I270" s="19">
        <f t="shared" si="8"/>
        <v>64990</v>
      </c>
      <c r="J270" s="19">
        <f>F270*((G270*(1-H270)) - _xlfn.XLOOKUP(C270,ТаблицаТовары[ID товара],ТаблицаТовары[Себестоимость],0))</f>
        <v>17190</v>
      </c>
      <c r="K270" s="27">
        <f t="shared" si="9"/>
        <v>0.26450223111247884</v>
      </c>
    </row>
    <row r="271" spans="1:11" x14ac:dyDescent="0.25">
      <c r="A271" s="22" t="s">
        <v>336</v>
      </c>
      <c r="B271" s="15">
        <v>45301</v>
      </c>
      <c r="C271" s="22" t="s">
        <v>46</v>
      </c>
      <c r="D271" s="31" t="str">
        <f>_xlfn.XLOOKUP(C271, ТаблицаТовары[ID товара], ТаблицаТовары[Название])</f>
        <v>Сумка кожаная женская</v>
      </c>
      <c r="E271" s="17" t="str">
        <f>_xlfn.XLOOKUP(C271,ТаблицаТовары[ID товара],ТаблицаТовары[Категория])</f>
        <v>Аксессуары</v>
      </c>
      <c r="F271" s="29">
        <v>2</v>
      </c>
      <c r="G271" s="19">
        <f>_xlfn.XLOOKUP(C271, ТаблицаТовары[ID товара], ТаблицаТовары[Цена], "Цена не найдена")</f>
        <v>7590</v>
      </c>
      <c r="H271" s="25">
        <f>MAX(
    (MONTH(B271)=11)*0.15,
    (MONTH(B271)=3)*0.1,
    (OR(C271="Т-003",C271="Т-009",C271="Т-018"))*0.12,
    (F271&gt;=3)*0.08,
    (VLOOKUP(C271,ТаблицаТовары[[ID товара]:[Категория]],3,FALSE)="Одежда")*0.1,
    0
)</f>
        <v>0.12</v>
      </c>
      <c r="I271" s="19">
        <f t="shared" si="8"/>
        <v>13358.4</v>
      </c>
      <c r="J271" s="19">
        <f>F271*((G271*(1-H271)) - _xlfn.XLOOKUP(C271,ТаблицаТовары[ID товара],ТаблицаТовары[Себестоимость],0))</f>
        <v>4958.3999999999996</v>
      </c>
      <c r="K271" s="27">
        <f t="shared" si="9"/>
        <v>0.37118217750628818</v>
      </c>
    </row>
    <row r="272" spans="1:11" x14ac:dyDescent="0.25">
      <c r="A272" s="22" t="s">
        <v>337</v>
      </c>
      <c r="B272" s="15">
        <v>45322</v>
      </c>
      <c r="C272" s="22" t="s">
        <v>32</v>
      </c>
      <c r="D272" s="31" t="str">
        <f>_xlfn.XLOOKUP(C272, ТаблицаТовары[ID товара], ТаблицаТовары[Название])</f>
        <v>Рюкзак туристический</v>
      </c>
      <c r="E272" s="17" t="str">
        <f>_xlfn.XLOOKUP(C272,ТаблицаТовары[ID товара],ТаблицаТовары[Категория])</f>
        <v>Аксессуары</v>
      </c>
      <c r="F272" s="29">
        <v>2</v>
      </c>
      <c r="G272" s="19">
        <f>_xlfn.XLOOKUP(C272, ТаблицаТовары[ID товара], ТаблицаТовары[Цена], "Цена не найдена")</f>
        <v>3490</v>
      </c>
      <c r="H272" s="25">
        <f>MAX(
    (MONTH(B272)=11)*0.15,
    (MONTH(B272)=3)*0.1,
    (OR(C272="Т-003",C272="Т-009",C272="Т-018"))*0.12,
    (F272&gt;=3)*0.08,
    (VLOOKUP(C272,ТаблицаТовары[[ID товара]:[Категория]],3,FALSE)="Одежда")*0.1,
    0
)</f>
        <v>0</v>
      </c>
      <c r="I272" s="19">
        <f t="shared" si="8"/>
        <v>6980</v>
      </c>
      <c r="J272" s="19">
        <f>F272*((G272*(1-H272)) - _xlfn.XLOOKUP(C272,ТаблицаТовары[ID товара],ТаблицаТовары[Себестоимость],0))</f>
        <v>3380</v>
      </c>
      <c r="K272" s="27">
        <f t="shared" si="9"/>
        <v>0.48424068767908307</v>
      </c>
    </row>
    <row r="273" spans="1:11" x14ac:dyDescent="0.25">
      <c r="A273" s="22" t="s">
        <v>338</v>
      </c>
      <c r="B273" s="15">
        <v>45327</v>
      </c>
      <c r="C273" s="22" t="s">
        <v>16</v>
      </c>
      <c r="D273" s="31" t="str">
        <f>_xlfn.XLOOKUP(C273, ТаблицаТовары[ID товара], ТаблицаТовары[Название])</f>
        <v>Кофемашина DeLonghi</v>
      </c>
      <c r="E273" s="17" t="str">
        <f>_xlfn.XLOOKUP(C273,ТаблицаТовары[ID товара],ТаблицаТовары[Категория])</f>
        <v>Для дома</v>
      </c>
      <c r="F273" s="29">
        <v>2</v>
      </c>
      <c r="G273" s="19">
        <f>_xlfn.XLOOKUP(C273, ТаблицаТовары[ID товара], ТаблицаТовары[Цена], "Цена не найдена")</f>
        <v>45990</v>
      </c>
      <c r="H273" s="25">
        <f>MAX(
    (MONTH(B273)=11)*0.15,
    (MONTH(B273)=3)*0.1,
    (OR(C273="Т-003",C273="Т-009",C273="Т-018"))*0.12,
    (F273&gt;=3)*0.08,
    (VLOOKUP(C273,ТаблицаТовары[[ID товара]:[Категория]],3,FALSE)="Одежда")*0.1,
    0
)</f>
        <v>0</v>
      </c>
      <c r="I273" s="19">
        <f t="shared" si="8"/>
        <v>91980</v>
      </c>
      <c r="J273" s="19">
        <f>F273*((G273*(1-H273)) - _xlfn.XLOOKUP(C273,ТаблицаТовары[ID товара],ТаблицаТовары[Себестоимость],0))</f>
        <v>27180</v>
      </c>
      <c r="K273" s="27">
        <f t="shared" si="9"/>
        <v>0.29549902152641877</v>
      </c>
    </row>
    <row r="274" spans="1:11" x14ac:dyDescent="0.25">
      <c r="A274" s="22" t="s">
        <v>339</v>
      </c>
      <c r="B274" s="15">
        <v>45347</v>
      </c>
      <c r="C274" s="22" t="s">
        <v>24</v>
      </c>
      <c r="D274" s="31" t="str">
        <f>_xlfn.XLOOKUP(C274, ТаблицаТовары[ID товара], ТаблицаТовары[Название])</f>
        <v>Чайник стеклянный</v>
      </c>
      <c r="E274" s="17" t="str">
        <f>_xlfn.XLOOKUP(C274,ТаблицаТовары[ID товара],ТаблицаТовары[Категория])</f>
        <v>Для дома</v>
      </c>
      <c r="F274" s="29">
        <v>3</v>
      </c>
      <c r="G274" s="19">
        <f>_xlfn.XLOOKUP(C274, ТаблицаТовары[ID товара], ТаблицаТовары[Цена], "Цена не найдена")</f>
        <v>2490</v>
      </c>
      <c r="H274" s="25">
        <f>MAX(
    (MONTH(B274)=11)*0.15,
    (MONTH(B274)=3)*0.1,
    (OR(C274="Т-003",C274="Т-009",C274="Т-018"))*0.12,
    (F274&gt;=3)*0.08,
    (VLOOKUP(C274,ТаблицаТовары[[ID товара]:[Категория]],3,FALSE)="Одежда")*0.1,
    0
)</f>
        <v>0.08</v>
      </c>
      <c r="I274" s="19">
        <f t="shared" si="8"/>
        <v>6872.4000000000005</v>
      </c>
      <c r="J274" s="19">
        <f>F274*((G274*(1-H274)) - _xlfn.XLOOKUP(C274,ТаблицаТовары[ID товара],ТаблицаТовары[Себестоимость],0))</f>
        <v>3272.4000000000005</v>
      </c>
      <c r="K274" s="27">
        <f t="shared" si="9"/>
        <v>0.47616553169198539</v>
      </c>
    </row>
    <row r="275" spans="1:11" x14ac:dyDescent="0.25">
      <c r="A275" s="22" t="s">
        <v>340</v>
      </c>
      <c r="B275" s="15">
        <v>45383</v>
      </c>
      <c r="C275" s="22" t="s">
        <v>24</v>
      </c>
      <c r="D275" s="31" t="str">
        <f>_xlfn.XLOOKUP(C275, ТаблицаТовары[ID товара], ТаблицаТовары[Название])</f>
        <v>Чайник стеклянный</v>
      </c>
      <c r="E275" s="17" t="str">
        <f>_xlfn.XLOOKUP(C275,ТаблицаТовары[ID товара],ТаблицаТовары[Категория])</f>
        <v>Для дома</v>
      </c>
      <c r="F275" s="29">
        <v>2</v>
      </c>
      <c r="G275" s="19">
        <f>_xlfn.XLOOKUP(C275, ТаблицаТовары[ID товара], ТаблицаТовары[Цена], "Цена не найдена")</f>
        <v>2490</v>
      </c>
      <c r="H275" s="25">
        <f>MAX(
    (MONTH(B275)=11)*0.15,
    (MONTH(B275)=3)*0.1,
    (OR(C275="Т-003",C275="Т-009",C275="Т-018"))*0.12,
    (F275&gt;=3)*0.08,
    (VLOOKUP(C275,ТаблицаТовары[[ID товара]:[Категория]],3,FALSE)="Одежда")*0.1,
    0
)</f>
        <v>0</v>
      </c>
      <c r="I275" s="19">
        <f t="shared" si="8"/>
        <v>4980</v>
      </c>
      <c r="J275" s="19">
        <f>F275*((G275*(1-H275)) - _xlfn.XLOOKUP(C275,ТаблицаТовары[ID товара],ТаблицаТовары[Себестоимость],0))</f>
        <v>2580</v>
      </c>
      <c r="K275" s="27">
        <f t="shared" si="9"/>
        <v>0.51807228915662651</v>
      </c>
    </row>
    <row r="276" spans="1:11" x14ac:dyDescent="0.25">
      <c r="A276" s="22" t="s">
        <v>341</v>
      </c>
      <c r="B276" s="15">
        <v>45294</v>
      </c>
      <c r="C276" s="22" t="s">
        <v>41</v>
      </c>
      <c r="D276" s="31" t="str">
        <f>_xlfn.XLOOKUP(C276, ТаблицаТовары[ID товара], ТаблицаТовары[Название])</f>
        <v>Планшет iPad 10.2"</v>
      </c>
      <c r="E276" s="17" t="str">
        <f>_xlfn.XLOOKUP(C276,ТаблицаТовары[ID товара],ТаблицаТовары[Категория])</f>
        <v>Электроника</v>
      </c>
      <c r="F276" s="29">
        <v>2</v>
      </c>
      <c r="G276" s="19">
        <f>_xlfn.XLOOKUP(C276, ТаблицаТовары[ID товара], ТаблицаТовары[Цена], "Цена не найдена")</f>
        <v>44990</v>
      </c>
      <c r="H276" s="25">
        <f>MAX(
    (MONTH(B276)=11)*0.15,
    (MONTH(B276)=3)*0.1,
    (OR(C276="Т-003",C276="Т-009",C276="Т-018"))*0.12,
    (F276&gt;=3)*0.08,
    (VLOOKUP(C276,ТаблицаТовары[[ID товара]:[Категория]],3,FALSE)="Одежда")*0.1,
    0
)</f>
        <v>0</v>
      </c>
      <c r="I276" s="19">
        <f t="shared" si="8"/>
        <v>89980</v>
      </c>
      <c r="J276" s="19">
        <f>F276*((G276*(1-H276)) - _xlfn.XLOOKUP(C276,ТаблицаТовары[ID товара],ТаблицаТовары[Себестоимость],0))</f>
        <v>24980</v>
      </c>
      <c r="K276" s="27">
        <f t="shared" si="9"/>
        <v>0.27761724827739498</v>
      </c>
    </row>
    <row r="277" spans="1:11" x14ac:dyDescent="0.25">
      <c r="A277" s="22" t="s">
        <v>342</v>
      </c>
      <c r="B277" s="15">
        <v>45594</v>
      </c>
      <c r="C277" s="22" t="s">
        <v>46</v>
      </c>
      <c r="D277" s="31" t="str">
        <f>_xlfn.XLOOKUP(C277, ТаблицаТовары[ID товара], ТаблицаТовары[Название])</f>
        <v>Сумка кожаная женская</v>
      </c>
      <c r="E277" s="17" t="str">
        <f>_xlfn.XLOOKUP(C277,ТаблицаТовары[ID товара],ТаблицаТовары[Категория])</f>
        <v>Аксессуары</v>
      </c>
      <c r="F277" s="29">
        <v>1</v>
      </c>
      <c r="G277" s="19">
        <f>_xlfn.XLOOKUP(C277, ТаблицаТовары[ID товара], ТаблицаТовары[Цена], "Цена не найдена")</f>
        <v>7590</v>
      </c>
      <c r="H277" s="25">
        <f>MAX(
    (MONTH(B277)=11)*0.15,
    (MONTH(B277)=3)*0.1,
    (OR(C277="Т-003",C277="Т-009",C277="Т-018"))*0.12,
    (F277&gt;=3)*0.08,
    (VLOOKUP(C277,ТаблицаТовары[[ID товара]:[Категория]],3,FALSE)="Одежда")*0.1,
    0
)</f>
        <v>0.12</v>
      </c>
      <c r="I277" s="19">
        <f t="shared" si="8"/>
        <v>6679.2</v>
      </c>
      <c r="J277" s="19">
        <f>F277*((G277*(1-H277)) - _xlfn.XLOOKUP(C277,ТаблицаТовары[ID товара],ТаблицаТовары[Себестоимость],0))</f>
        <v>2479.1999999999998</v>
      </c>
      <c r="K277" s="27">
        <f t="shared" si="9"/>
        <v>0.37118217750628818</v>
      </c>
    </row>
    <row r="278" spans="1:11" x14ac:dyDescent="0.25">
      <c r="A278" s="22" t="s">
        <v>343</v>
      </c>
      <c r="B278" s="15">
        <v>45578</v>
      </c>
      <c r="C278" s="22" t="s">
        <v>10</v>
      </c>
      <c r="D278" s="31" t="str">
        <f>_xlfn.XLOOKUP(C278, ТаблицаТовары[ID товара], ТаблицаТовары[Название])</f>
        <v>Книга "Мастерство продаж"</v>
      </c>
      <c r="E278" s="17" t="str">
        <f>_xlfn.XLOOKUP(C278,ТаблицаТовары[ID товара],ТаблицаТовары[Категория])</f>
        <v>Книги</v>
      </c>
      <c r="F278" s="29">
        <v>2</v>
      </c>
      <c r="G278" s="19">
        <f>_xlfn.XLOOKUP(C278, ТаблицаТовары[ID товара], ТаблицаТовары[Цена], "Цена не найдена")</f>
        <v>890</v>
      </c>
      <c r="H278" s="25">
        <f>MAX(
    (MONTH(B278)=11)*0.15,
    (MONTH(B278)=3)*0.1,
    (OR(C278="Т-003",C278="Т-009",C278="Т-018"))*0.12,
    (F278&gt;=3)*0.08,
    (VLOOKUP(C278,ТаблицаТовары[[ID товара]:[Категория]],3,FALSE)="Одежда")*0.1,
    0
)</f>
        <v>0.12</v>
      </c>
      <c r="I278" s="19">
        <f t="shared" si="8"/>
        <v>1566.4</v>
      </c>
      <c r="J278" s="19">
        <f>F278*((G278*(1-H278)) - _xlfn.XLOOKUP(C278,ТаблицаТовары[ID товара],ТаблицаТовары[Себестоимость],0))</f>
        <v>666.40000000000009</v>
      </c>
      <c r="K278" s="27">
        <f t="shared" si="9"/>
        <v>0.42543411644535245</v>
      </c>
    </row>
    <row r="279" spans="1:11" x14ac:dyDescent="0.25">
      <c r="A279" s="22" t="s">
        <v>344</v>
      </c>
      <c r="B279" s="15">
        <v>45447</v>
      </c>
      <c r="C279" s="22" t="s">
        <v>37</v>
      </c>
      <c r="D279" s="31" t="str">
        <f>_xlfn.XLOOKUP(C279, ТаблицаТовары[ID товара], ТаблицаТовары[Название])</f>
        <v>Набор посуды 12 предметов</v>
      </c>
      <c r="E279" s="17" t="str">
        <f>_xlfn.XLOOKUP(C279,ТаблицаТовары[ID товара],ТаблицаТовары[Категория])</f>
        <v>Для дома</v>
      </c>
      <c r="F279" s="29">
        <v>2</v>
      </c>
      <c r="G279" s="19">
        <f>_xlfn.XLOOKUP(C279, ТаблицаТовары[ID товара], ТаблицаТовары[Цена], "Цена не найдена")</f>
        <v>14990</v>
      </c>
      <c r="H279" s="25">
        <f>MAX(
    (MONTH(B279)=11)*0.15,
    (MONTH(B279)=3)*0.1,
    (OR(C279="Т-003",C279="Т-009",C279="Т-018"))*0.12,
    (F279&gt;=3)*0.08,
    (VLOOKUP(C279,ТаблицаТовары[[ID товара]:[Категория]],3,FALSE)="Одежда")*0.1,
    0
)</f>
        <v>0</v>
      </c>
      <c r="I279" s="19">
        <f t="shared" si="8"/>
        <v>29980</v>
      </c>
      <c r="J279" s="19">
        <f>F279*((G279*(1-H279)) - _xlfn.XLOOKUP(C279,ТаблицаТовары[ID товара],ТаблицаТовары[Себестоимость],0))</f>
        <v>12780</v>
      </c>
      <c r="K279" s="27">
        <f t="shared" si="9"/>
        <v>0.42628418945963975</v>
      </c>
    </row>
    <row r="280" spans="1:11" x14ac:dyDescent="0.25">
      <c r="A280" s="22" t="s">
        <v>345</v>
      </c>
      <c r="B280" s="15">
        <v>45402</v>
      </c>
      <c r="C280" s="22" t="s">
        <v>35</v>
      </c>
      <c r="D280" s="31" t="str">
        <f>_xlfn.XLOOKUP(C280, ТаблицаТовары[ID товара], ТаблицаТовары[Название])</f>
        <v>Умные часы Apple Watch</v>
      </c>
      <c r="E280" s="17" t="str">
        <f>_xlfn.XLOOKUP(C280,ТаблицаТовары[ID товара],ТаблицаТовары[Категория])</f>
        <v>Электроника</v>
      </c>
      <c r="F280" s="29">
        <v>1</v>
      </c>
      <c r="G280" s="19">
        <f>_xlfn.XLOOKUP(C280, ТаблицаТовары[ID товара], ТаблицаТовары[Цена], "Цена не найдена")</f>
        <v>39990</v>
      </c>
      <c r="H280" s="25">
        <f>MAX(
    (MONTH(B280)=11)*0.15,
    (MONTH(B280)=3)*0.1,
    (OR(C280="Т-003",C280="Т-009",C280="Т-018"))*0.12,
    (F280&gt;=3)*0.08,
    (VLOOKUP(C280,ТаблицаТовары[[ID товара]:[Категория]],3,FALSE)="Одежда")*0.1,
    0
)</f>
        <v>0</v>
      </c>
      <c r="I280" s="19">
        <f t="shared" si="8"/>
        <v>39990</v>
      </c>
      <c r="J280" s="19">
        <f>F280*((G280*(1-H280)) - _xlfn.XLOOKUP(C280,ТаблицаТовары[ID товара],ТаблицаТовары[Себестоимость],0))</f>
        <v>11490</v>
      </c>
      <c r="K280" s="27">
        <f t="shared" si="9"/>
        <v>0.28732183045761439</v>
      </c>
    </row>
    <row r="281" spans="1:11" x14ac:dyDescent="0.25">
      <c r="A281" s="22" t="s">
        <v>346</v>
      </c>
      <c r="B281" s="15">
        <v>45408</v>
      </c>
      <c r="C281" s="22" t="s">
        <v>35</v>
      </c>
      <c r="D281" s="31" t="str">
        <f>_xlfn.XLOOKUP(C281, ТаблицаТовары[ID товара], ТаблицаТовары[Название])</f>
        <v>Умные часы Apple Watch</v>
      </c>
      <c r="E281" s="17" t="str">
        <f>_xlfn.XLOOKUP(C281,ТаблицаТовары[ID товара],ТаблицаТовары[Категория])</f>
        <v>Электроника</v>
      </c>
      <c r="F281" s="29">
        <v>1</v>
      </c>
      <c r="G281" s="19">
        <f>_xlfn.XLOOKUP(C281, ТаблицаТовары[ID товара], ТаблицаТовары[Цена], "Цена не найдена")</f>
        <v>39990</v>
      </c>
      <c r="H281" s="25">
        <f>MAX(
    (MONTH(B281)=11)*0.15,
    (MONTH(B281)=3)*0.1,
    (OR(C281="Т-003",C281="Т-009",C281="Т-018"))*0.12,
    (F281&gt;=3)*0.08,
    (VLOOKUP(C281,ТаблицаТовары[[ID товара]:[Категория]],3,FALSE)="Одежда")*0.1,
    0
)</f>
        <v>0</v>
      </c>
      <c r="I281" s="19">
        <f t="shared" si="8"/>
        <v>39990</v>
      </c>
      <c r="J281" s="19">
        <f>F281*((G281*(1-H281)) - _xlfn.XLOOKUP(C281,ТаблицаТовары[ID товара],ТаблицаТовары[Себестоимость],0))</f>
        <v>11490</v>
      </c>
      <c r="K281" s="27">
        <f t="shared" si="9"/>
        <v>0.28732183045761439</v>
      </c>
    </row>
    <row r="282" spans="1:11" x14ac:dyDescent="0.25">
      <c r="A282" s="22" t="s">
        <v>347</v>
      </c>
      <c r="B282" s="15">
        <v>45423</v>
      </c>
      <c r="C282" s="22" t="s">
        <v>22</v>
      </c>
      <c r="D282" s="31" t="str">
        <f>_xlfn.XLOOKUP(C282, ТаблицаТовары[ID товара], ТаблицаТовары[Название])</f>
        <v>Ноутбук Lenovo IdeaPad</v>
      </c>
      <c r="E282" s="17" t="str">
        <f>_xlfn.XLOOKUP(C282,ТаблицаТовары[ID товара],ТаблицаТовары[Категория])</f>
        <v>Электроника</v>
      </c>
      <c r="F282" s="29">
        <v>1</v>
      </c>
      <c r="G282" s="19">
        <f>_xlfn.XLOOKUP(C282, ТаблицаТовары[ID товара], ТаблицаТовары[Цена], "Цена не найдена")</f>
        <v>64990</v>
      </c>
      <c r="H282" s="25">
        <f>MAX(
    (MONTH(B282)=11)*0.15,
    (MONTH(B282)=3)*0.1,
    (OR(C282="Т-003",C282="Т-009",C282="Т-018"))*0.12,
    (F282&gt;=3)*0.08,
    (VLOOKUP(C282,ТаблицаТовары[[ID товара]:[Категория]],3,FALSE)="Одежда")*0.1,
    0
)</f>
        <v>0</v>
      </c>
      <c r="I282" s="19">
        <f t="shared" si="8"/>
        <v>64990</v>
      </c>
      <c r="J282" s="19">
        <f>F282*((G282*(1-H282)) - _xlfn.XLOOKUP(C282,ТаблицаТовары[ID товара],ТаблицаТовары[Себестоимость],0))</f>
        <v>17190</v>
      </c>
      <c r="K282" s="27">
        <f t="shared" si="9"/>
        <v>0.26450223111247884</v>
      </c>
    </row>
    <row r="283" spans="1:11" x14ac:dyDescent="0.25">
      <c r="A283" s="22" t="s">
        <v>348</v>
      </c>
      <c r="B283" s="15">
        <v>45423</v>
      </c>
      <c r="C283" s="22" t="s">
        <v>30</v>
      </c>
      <c r="D283" s="31" t="str">
        <f>_xlfn.XLOOKUP(C283, ТаблицаТовары[ID товара], ТаблицаТовары[Название])</f>
        <v>Кресло офисное</v>
      </c>
      <c r="E283" s="17" t="str">
        <f>_xlfn.XLOOKUP(C283,ТаблицаТовары[ID товара],ТаблицаТовары[Категория])</f>
        <v>Для дома</v>
      </c>
      <c r="F283" s="29">
        <v>2</v>
      </c>
      <c r="G283" s="19">
        <f>_xlfn.XLOOKUP(C283, ТаблицаТовары[ID товара], ТаблицаТовары[Цена], "Цена не найдена")</f>
        <v>21990</v>
      </c>
      <c r="H283" s="25">
        <f>MAX(
    (MONTH(B283)=11)*0.15,
    (MONTH(B283)=3)*0.1,
    (OR(C283="Т-003",C283="Т-009",C283="Т-018"))*0.12,
    (F283&gt;=3)*0.08,
    (VLOOKUP(C283,ТаблицаТовары[[ID товара]:[Категория]],3,FALSE)="Одежда")*0.1,
    0
)</f>
        <v>0</v>
      </c>
      <c r="I283" s="19">
        <f t="shared" si="8"/>
        <v>43980</v>
      </c>
      <c r="J283" s="19">
        <f>F283*((G283*(1-H283)) - _xlfn.XLOOKUP(C283,ТаблицаТовары[ID товара],ТаблицаТовары[Себестоимость],0))</f>
        <v>14980</v>
      </c>
      <c r="K283" s="27">
        <f t="shared" si="9"/>
        <v>0.34060936789449747</v>
      </c>
    </row>
    <row r="284" spans="1:11" x14ac:dyDescent="0.25">
      <c r="A284" s="22" t="s">
        <v>349</v>
      </c>
      <c r="B284" s="15">
        <v>45476</v>
      </c>
      <c r="C284" s="22" t="s">
        <v>19</v>
      </c>
      <c r="D284" s="31" t="str">
        <f>_xlfn.XLOOKUP(C284, ТаблицаТовары[ID товара], ТаблицаТовары[Название])</f>
        <v>Кроссовки Nike Air Max</v>
      </c>
      <c r="E284" s="17" t="str">
        <f>_xlfn.XLOOKUP(C284,ТаблицаТовары[ID товара],ТаблицаТовары[Категория])</f>
        <v>Обувь</v>
      </c>
      <c r="F284" s="29">
        <v>2</v>
      </c>
      <c r="G284" s="19">
        <f>_xlfn.XLOOKUP(C284, ТаблицаТовары[ID товара], ТаблицаТовары[Цена], "Цена не найдена")</f>
        <v>8990</v>
      </c>
      <c r="H284" s="25">
        <f>MAX(
    (MONTH(B284)=11)*0.15,
    (MONTH(B284)=3)*0.1,
    (OR(C284="Т-003",C284="Т-009",C284="Т-018"))*0.12,
    (F284&gt;=3)*0.08,
    (VLOOKUP(C284,ТаблицаТовары[[ID товара]:[Категория]],3,FALSE)="Одежда")*0.1,
    0
)</f>
        <v>0</v>
      </c>
      <c r="I284" s="19">
        <f t="shared" si="8"/>
        <v>17980</v>
      </c>
      <c r="J284" s="19">
        <f>F284*((G284*(1-H284)) - _xlfn.XLOOKUP(C284,ТаблицаТовары[ID товара],ТаблицаТовары[Себестоимость],0))</f>
        <v>7580</v>
      </c>
      <c r="K284" s="27">
        <f t="shared" si="9"/>
        <v>0.42157953281423804</v>
      </c>
    </row>
    <row r="285" spans="1:11" x14ac:dyDescent="0.25">
      <c r="A285" s="22" t="s">
        <v>350</v>
      </c>
      <c r="B285" s="15">
        <v>45516</v>
      </c>
      <c r="C285" s="22" t="s">
        <v>22</v>
      </c>
      <c r="D285" s="31" t="str">
        <f>_xlfn.XLOOKUP(C285, ТаблицаТовары[ID товара], ТаблицаТовары[Название])</f>
        <v>Ноутбук Lenovo IdeaPad</v>
      </c>
      <c r="E285" s="17" t="str">
        <f>_xlfn.XLOOKUP(C285,ТаблицаТовары[ID товара],ТаблицаТовары[Категория])</f>
        <v>Электроника</v>
      </c>
      <c r="F285" s="29">
        <v>3</v>
      </c>
      <c r="G285" s="19">
        <f>_xlfn.XLOOKUP(C285, ТаблицаТовары[ID товара], ТаблицаТовары[Цена], "Цена не найдена")</f>
        <v>64990</v>
      </c>
      <c r="H285" s="25">
        <f>MAX(
    (MONTH(B285)=11)*0.15,
    (MONTH(B285)=3)*0.1,
    (OR(C285="Т-003",C285="Т-009",C285="Т-018"))*0.12,
    (F285&gt;=3)*0.08,
    (VLOOKUP(C285,ТаблицаТовары[[ID товара]:[Категория]],3,FALSE)="Одежда")*0.1,
    0
)</f>
        <v>0.08</v>
      </c>
      <c r="I285" s="19">
        <f t="shared" si="8"/>
        <v>179372.4</v>
      </c>
      <c r="J285" s="19">
        <f>F285*((G285*(1-H285)) - _xlfn.XLOOKUP(C285,ТаблицаТовары[ID товара],ТаблицаТовары[Себестоимость],0))</f>
        <v>35972.400000000009</v>
      </c>
      <c r="K285" s="27">
        <f t="shared" si="9"/>
        <v>0.20054590338312922</v>
      </c>
    </row>
    <row r="286" spans="1:11" x14ac:dyDescent="0.25">
      <c r="A286" s="22" t="s">
        <v>351</v>
      </c>
      <c r="B286" s="15">
        <v>45529</v>
      </c>
      <c r="C286" s="22" t="s">
        <v>35</v>
      </c>
      <c r="D286" s="31" t="str">
        <f>_xlfn.XLOOKUP(C286, ТаблицаТовары[ID товара], ТаблицаТовары[Название])</f>
        <v>Умные часы Apple Watch</v>
      </c>
      <c r="E286" s="17" t="str">
        <f>_xlfn.XLOOKUP(C286,ТаблицаТовары[ID товара],ТаблицаТовары[Категория])</f>
        <v>Электроника</v>
      </c>
      <c r="F286" s="29">
        <v>3</v>
      </c>
      <c r="G286" s="19">
        <f>_xlfn.XLOOKUP(C286, ТаблицаТовары[ID товара], ТаблицаТовары[Цена], "Цена не найдена")</f>
        <v>39990</v>
      </c>
      <c r="H286" s="25">
        <f>MAX(
    (MONTH(B286)=11)*0.15,
    (MONTH(B286)=3)*0.1,
    (OR(C286="Т-003",C286="Т-009",C286="Т-018"))*0.12,
    (F286&gt;=3)*0.08,
    (VLOOKUP(C286,ТаблицаТовары[[ID товара]:[Категория]],3,FALSE)="Одежда")*0.1,
    0
)</f>
        <v>0.08</v>
      </c>
      <c r="I286" s="19">
        <f t="shared" si="8"/>
        <v>110372.40000000001</v>
      </c>
      <c r="J286" s="19">
        <f>F286*((G286*(1-H286)) - _xlfn.XLOOKUP(C286,ТаблицаТовары[ID товара],ТаблицаТовары[Себестоимость],0))</f>
        <v>24872.400000000009</v>
      </c>
      <c r="K286" s="27">
        <f t="shared" si="9"/>
        <v>0.22534981571479831</v>
      </c>
    </row>
    <row r="287" spans="1:11" x14ac:dyDescent="0.25">
      <c r="A287" s="22" t="s">
        <v>352</v>
      </c>
      <c r="B287" s="15">
        <v>45385</v>
      </c>
      <c r="C287" s="22" t="s">
        <v>35</v>
      </c>
      <c r="D287" s="31" t="str">
        <f>_xlfn.XLOOKUP(C287, ТаблицаТовары[ID товара], ТаблицаТовары[Название])</f>
        <v>Умные часы Apple Watch</v>
      </c>
      <c r="E287" s="17" t="str">
        <f>_xlfn.XLOOKUP(C287,ТаблицаТовары[ID товара],ТаблицаТовары[Категория])</f>
        <v>Электроника</v>
      </c>
      <c r="F287" s="29">
        <v>3</v>
      </c>
      <c r="G287" s="19">
        <f>_xlfn.XLOOKUP(C287, ТаблицаТовары[ID товара], ТаблицаТовары[Цена], "Цена не найдена")</f>
        <v>39990</v>
      </c>
      <c r="H287" s="25">
        <f>MAX(
    (MONTH(B287)=11)*0.15,
    (MONTH(B287)=3)*0.1,
    (OR(C287="Т-003",C287="Т-009",C287="Т-018"))*0.12,
    (F287&gt;=3)*0.08,
    (VLOOKUP(C287,ТаблицаТовары[[ID товара]:[Категория]],3,FALSE)="Одежда")*0.1,
    0
)</f>
        <v>0.08</v>
      </c>
      <c r="I287" s="19">
        <f t="shared" si="8"/>
        <v>110372.40000000001</v>
      </c>
      <c r="J287" s="19">
        <f>F287*((G287*(1-H287)) - _xlfn.XLOOKUP(C287,ТаблицаТовары[ID товара],ТаблицаТовары[Себестоимость],0))</f>
        <v>24872.400000000009</v>
      </c>
      <c r="K287" s="27">
        <f t="shared" si="9"/>
        <v>0.22534981571479831</v>
      </c>
    </row>
    <row r="288" spans="1:11" x14ac:dyDescent="0.25">
      <c r="A288" s="22" t="s">
        <v>353</v>
      </c>
      <c r="B288" s="15">
        <v>45446</v>
      </c>
      <c r="C288" s="22" t="s">
        <v>32</v>
      </c>
      <c r="D288" s="31" t="str">
        <f>_xlfn.XLOOKUP(C288, ТаблицаТовары[ID товара], ТаблицаТовары[Название])</f>
        <v>Рюкзак туристический</v>
      </c>
      <c r="E288" s="17" t="str">
        <f>_xlfn.XLOOKUP(C288,ТаблицаТовары[ID товара],ТаблицаТовары[Категория])</f>
        <v>Аксессуары</v>
      </c>
      <c r="F288" s="29">
        <v>1</v>
      </c>
      <c r="G288" s="19">
        <f>_xlfn.XLOOKUP(C288, ТаблицаТовары[ID товара], ТаблицаТовары[Цена], "Цена не найдена")</f>
        <v>3490</v>
      </c>
      <c r="H288" s="25">
        <f>MAX(
    (MONTH(B288)=11)*0.15,
    (MONTH(B288)=3)*0.1,
    (OR(C288="Т-003",C288="Т-009",C288="Т-018"))*0.12,
    (F288&gt;=3)*0.08,
    (VLOOKUP(C288,ТаблицаТовары[[ID товара]:[Категория]],3,FALSE)="Одежда")*0.1,
    0
)</f>
        <v>0</v>
      </c>
      <c r="I288" s="19">
        <f t="shared" si="8"/>
        <v>3490</v>
      </c>
      <c r="J288" s="19">
        <f>F288*((G288*(1-H288)) - _xlfn.XLOOKUP(C288,ТаблицаТовары[ID товара],ТаблицаТовары[Себестоимость],0))</f>
        <v>1690</v>
      </c>
      <c r="K288" s="27">
        <f t="shared" si="9"/>
        <v>0.48424068767908307</v>
      </c>
    </row>
    <row r="289" spans="1:11" x14ac:dyDescent="0.25">
      <c r="A289" s="22" t="s">
        <v>354</v>
      </c>
      <c r="B289" s="15">
        <v>45427</v>
      </c>
      <c r="C289" s="22" t="s">
        <v>41</v>
      </c>
      <c r="D289" s="31" t="str">
        <f>_xlfn.XLOOKUP(C289, ТаблицаТовары[ID товара], ТаблицаТовары[Название])</f>
        <v>Планшет iPad 10.2"</v>
      </c>
      <c r="E289" s="17" t="str">
        <f>_xlfn.XLOOKUP(C289,ТаблицаТовары[ID товара],ТаблицаТовары[Категория])</f>
        <v>Электроника</v>
      </c>
      <c r="F289" s="29">
        <v>1</v>
      </c>
      <c r="G289" s="19">
        <f>_xlfn.XLOOKUP(C289, ТаблицаТовары[ID товара], ТаблицаТовары[Цена], "Цена не найдена")</f>
        <v>44990</v>
      </c>
      <c r="H289" s="25">
        <f>MAX(
    (MONTH(B289)=11)*0.15,
    (MONTH(B289)=3)*0.1,
    (OR(C289="Т-003",C289="Т-009",C289="Т-018"))*0.12,
    (F289&gt;=3)*0.08,
    (VLOOKUP(C289,ТаблицаТовары[[ID товара]:[Категория]],3,FALSE)="Одежда")*0.1,
    0
)</f>
        <v>0</v>
      </c>
      <c r="I289" s="19">
        <f t="shared" si="8"/>
        <v>44990</v>
      </c>
      <c r="J289" s="19">
        <f>F289*((G289*(1-H289)) - _xlfn.XLOOKUP(C289,ТаблицаТовары[ID товара],ТаблицаТовары[Себестоимость],0))</f>
        <v>12490</v>
      </c>
      <c r="K289" s="27">
        <f t="shared" si="9"/>
        <v>0.27761724827739498</v>
      </c>
    </row>
    <row r="290" spans="1:11" x14ac:dyDescent="0.25">
      <c r="A290" s="22" t="s">
        <v>355</v>
      </c>
      <c r="B290" s="15">
        <v>45594</v>
      </c>
      <c r="C290" s="22" t="s">
        <v>8</v>
      </c>
      <c r="D290" s="31" t="str">
        <f>_xlfn.XLOOKUP(C290, ТаблицаТовары[ID товара], ТаблицаТовары[Название])</f>
        <v>Наушники Sony WH-1000XM5</v>
      </c>
      <c r="E290" s="17" t="str">
        <f>_xlfn.XLOOKUP(C290,ТаблицаТовары[ID товара],ТаблицаТовары[Категория])</f>
        <v>Электроника</v>
      </c>
      <c r="F290" s="29">
        <v>3</v>
      </c>
      <c r="G290" s="19">
        <f>_xlfn.XLOOKUP(C290, ТаблицаТовары[ID товара], ТаблицаТовары[Цена], "Цена не найдена")</f>
        <v>26990</v>
      </c>
      <c r="H290" s="25">
        <f>MAX(
    (MONTH(B290)=11)*0.15,
    (MONTH(B290)=3)*0.1,
    (OR(C290="Т-003",C290="Т-009",C290="Т-018"))*0.12,
    (F290&gt;=3)*0.08,
    (VLOOKUP(C290,ТаблицаТовары[[ID товара]:[Категория]],3,FALSE)="Одежда")*0.1,
    0
)</f>
        <v>0.08</v>
      </c>
      <c r="I290" s="19">
        <f t="shared" si="8"/>
        <v>74492.400000000009</v>
      </c>
      <c r="J290" s="19">
        <f>F290*((G290*(1-H290)) - _xlfn.XLOOKUP(C290,ТаблицаТовары[ID товара],ТаблицаТовары[Себестоимость],0))</f>
        <v>17792.399999999998</v>
      </c>
      <c r="K290" s="27">
        <f t="shared" si="9"/>
        <v>0.23884852682958255</v>
      </c>
    </row>
    <row r="291" spans="1:11" x14ac:dyDescent="0.25">
      <c r="A291" s="22" t="s">
        <v>356</v>
      </c>
      <c r="B291" s="15">
        <v>45402</v>
      </c>
      <c r="C291" s="22" t="s">
        <v>5</v>
      </c>
      <c r="D291" s="31" t="str">
        <f>_xlfn.XLOOKUP(C291, ТаблицаТовары[ID товара], ТаблицаТовары[Название])</f>
        <v>Смартфон Galaxy A54</v>
      </c>
      <c r="E291" s="17" t="str">
        <f>_xlfn.XLOOKUP(C291,ТаблицаТовары[ID товара],ТаблицаТовары[Категория])</f>
        <v>Электроника</v>
      </c>
      <c r="F291" s="29">
        <v>2</v>
      </c>
      <c r="G291" s="19">
        <f>_xlfn.XLOOKUP(C291, ТаблицаТовары[ID товара], ТаблицаТовары[Цена], "Цена не найдена")</f>
        <v>29990</v>
      </c>
      <c r="H291" s="25">
        <f>MAX(
    (MONTH(B291)=11)*0.15,
    (MONTH(B291)=3)*0.1,
    (OR(C291="Т-003",C291="Т-009",C291="Т-018"))*0.12,
    (F291&gt;=3)*0.08,
    (VLOOKUP(C291,ТаблицаТовары[[ID товара]:[Категория]],3,FALSE)="Одежда")*0.1,
    0
)</f>
        <v>0</v>
      </c>
      <c r="I291" s="19">
        <f t="shared" si="8"/>
        <v>59980</v>
      </c>
      <c r="J291" s="19">
        <f>F291*((G291*(1-H291)) - _xlfn.XLOOKUP(C291,ТаблицаТовары[ID товара],ТаблицаТовары[Себестоимость],0))</f>
        <v>16980</v>
      </c>
      <c r="K291" s="27">
        <f t="shared" si="9"/>
        <v>0.28309436478826278</v>
      </c>
    </row>
    <row r="292" spans="1:11" x14ac:dyDescent="0.25">
      <c r="A292" s="22" t="s">
        <v>357</v>
      </c>
      <c r="B292" s="15">
        <v>45601</v>
      </c>
      <c r="C292" s="22" t="s">
        <v>30</v>
      </c>
      <c r="D292" s="31" t="str">
        <f>_xlfn.XLOOKUP(C292, ТаблицаТовары[ID товара], ТаблицаТовары[Название])</f>
        <v>Кресло офисное</v>
      </c>
      <c r="E292" s="17" t="str">
        <f>_xlfn.XLOOKUP(C292,ТаблицаТовары[ID товара],ТаблицаТовары[Категория])</f>
        <v>Для дома</v>
      </c>
      <c r="F292" s="29">
        <v>1</v>
      </c>
      <c r="G292" s="19">
        <f>_xlfn.XLOOKUP(C292, ТаблицаТовары[ID товара], ТаблицаТовары[Цена], "Цена не найдена")</f>
        <v>21990</v>
      </c>
      <c r="H292" s="25">
        <f>MAX(
    (MONTH(B292)=11)*0.15,
    (MONTH(B292)=3)*0.1,
    (OR(C292="Т-003",C292="Т-009",C292="Т-018"))*0.12,
    (F292&gt;=3)*0.08,
    (VLOOKUP(C292,ТаблицаТовары[[ID товара]:[Категория]],3,FALSE)="Одежда")*0.1,
    0
)</f>
        <v>0.15</v>
      </c>
      <c r="I292" s="19">
        <f t="shared" si="8"/>
        <v>18691.5</v>
      </c>
      <c r="J292" s="19">
        <f>F292*((G292*(1-H292)) - _xlfn.XLOOKUP(C292,ТаблицаТовары[ID товара],ТаблицаТовары[Себестоимость],0))</f>
        <v>4191.5</v>
      </c>
      <c r="K292" s="27">
        <f t="shared" si="9"/>
        <v>0.22424631516999705</v>
      </c>
    </row>
    <row r="293" spans="1:11" x14ac:dyDescent="0.25">
      <c r="A293" s="22" t="s">
        <v>358</v>
      </c>
      <c r="B293" s="15">
        <v>45608</v>
      </c>
      <c r="C293" s="22" t="s">
        <v>10</v>
      </c>
      <c r="D293" s="31" t="str">
        <f>_xlfn.XLOOKUP(C293, ТаблицаТовары[ID товара], ТаблицаТовары[Название])</f>
        <v>Книга "Мастерство продаж"</v>
      </c>
      <c r="E293" s="17" t="str">
        <f>_xlfn.XLOOKUP(C293,ТаблицаТовары[ID товара],ТаблицаТовары[Категория])</f>
        <v>Книги</v>
      </c>
      <c r="F293" s="29">
        <v>2</v>
      </c>
      <c r="G293" s="19">
        <f>_xlfn.XLOOKUP(C293, ТаблицаТовары[ID товара], ТаблицаТовары[Цена], "Цена не найдена")</f>
        <v>890</v>
      </c>
      <c r="H293" s="25">
        <f>MAX(
    (MONTH(B293)=11)*0.15,
    (MONTH(B293)=3)*0.1,
    (OR(C293="Т-003",C293="Т-009",C293="Т-018"))*0.12,
    (F293&gt;=3)*0.08,
    (VLOOKUP(C293,ТаблицаТовары[[ID товара]:[Категория]],3,FALSE)="Одежда")*0.1,
    0
)</f>
        <v>0.15</v>
      </c>
      <c r="I293" s="19">
        <f t="shared" si="8"/>
        <v>1513</v>
      </c>
      <c r="J293" s="19">
        <f>F293*((G293*(1-H293)) - _xlfn.XLOOKUP(C293,ТаблицаТовары[ID товара],ТаблицаТовары[Себестоимость],0))</f>
        <v>613</v>
      </c>
      <c r="K293" s="27">
        <f t="shared" si="9"/>
        <v>0.40515532055518838</v>
      </c>
    </row>
    <row r="294" spans="1:11" x14ac:dyDescent="0.25">
      <c r="A294" s="22" t="s">
        <v>359</v>
      </c>
      <c r="B294" s="15">
        <v>45339</v>
      </c>
      <c r="C294" s="22" t="s">
        <v>5</v>
      </c>
      <c r="D294" s="31" t="str">
        <f>_xlfn.XLOOKUP(C294, ТаблицаТовары[ID товара], ТаблицаТовары[Название])</f>
        <v>Смартфон Galaxy A54</v>
      </c>
      <c r="E294" s="17" t="str">
        <f>_xlfn.XLOOKUP(C294,ТаблицаТовары[ID товара],ТаблицаТовары[Категория])</f>
        <v>Электроника</v>
      </c>
      <c r="F294" s="29">
        <v>2</v>
      </c>
      <c r="G294" s="19">
        <f>_xlfn.XLOOKUP(C294, ТаблицаТовары[ID товара], ТаблицаТовары[Цена], "Цена не найдена")</f>
        <v>29990</v>
      </c>
      <c r="H294" s="25">
        <f>MAX(
    (MONTH(B294)=11)*0.15,
    (MONTH(B294)=3)*0.1,
    (OR(C294="Т-003",C294="Т-009",C294="Т-018"))*0.12,
    (F294&gt;=3)*0.08,
    (VLOOKUP(C294,ТаблицаТовары[[ID товара]:[Категория]],3,FALSE)="Одежда")*0.1,
    0
)</f>
        <v>0</v>
      </c>
      <c r="I294" s="19">
        <f t="shared" si="8"/>
        <v>59980</v>
      </c>
      <c r="J294" s="19">
        <f>F294*((G294*(1-H294)) - _xlfn.XLOOKUP(C294,ТаблицаТовары[ID товара],ТаблицаТовары[Себестоимость],0))</f>
        <v>16980</v>
      </c>
      <c r="K294" s="27">
        <f t="shared" si="9"/>
        <v>0.28309436478826278</v>
      </c>
    </row>
    <row r="295" spans="1:11" x14ac:dyDescent="0.25">
      <c r="A295" s="22" t="s">
        <v>360</v>
      </c>
      <c r="B295" s="15">
        <v>45417</v>
      </c>
      <c r="C295" s="22" t="s">
        <v>16</v>
      </c>
      <c r="D295" s="31" t="str">
        <f>_xlfn.XLOOKUP(C295, ТаблицаТовары[ID товара], ТаблицаТовары[Название])</f>
        <v>Кофемашина DeLonghi</v>
      </c>
      <c r="E295" s="17" t="str">
        <f>_xlfn.XLOOKUP(C295,ТаблицаТовары[ID товара],ТаблицаТовары[Категория])</f>
        <v>Для дома</v>
      </c>
      <c r="F295" s="29">
        <v>2</v>
      </c>
      <c r="G295" s="19">
        <f>_xlfn.XLOOKUP(C295, ТаблицаТовары[ID товара], ТаблицаТовары[Цена], "Цена не найдена")</f>
        <v>45990</v>
      </c>
      <c r="H295" s="25">
        <f>MAX(
    (MONTH(B295)=11)*0.15,
    (MONTH(B295)=3)*0.1,
    (OR(C295="Т-003",C295="Т-009",C295="Т-018"))*0.12,
    (F295&gt;=3)*0.08,
    (VLOOKUP(C295,ТаблицаТовары[[ID товара]:[Категория]],3,FALSE)="Одежда")*0.1,
    0
)</f>
        <v>0</v>
      </c>
      <c r="I295" s="19">
        <f t="shared" si="8"/>
        <v>91980</v>
      </c>
      <c r="J295" s="19">
        <f>F295*((G295*(1-H295)) - _xlfn.XLOOKUP(C295,ТаблицаТовары[ID товара],ТаблицаТовары[Себестоимость],0))</f>
        <v>27180</v>
      </c>
      <c r="K295" s="27">
        <f t="shared" si="9"/>
        <v>0.29549902152641877</v>
      </c>
    </row>
    <row r="296" spans="1:11" x14ac:dyDescent="0.25">
      <c r="A296" s="22" t="s">
        <v>361</v>
      </c>
      <c r="B296" s="15">
        <v>45504</v>
      </c>
      <c r="C296" s="22" t="s">
        <v>35</v>
      </c>
      <c r="D296" s="31" t="str">
        <f>_xlfn.XLOOKUP(C296, ТаблицаТовары[ID товара], ТаблицаТовары[Название])</f>
        <v>Умные часы Apple Watch</v>
      </c>
      <c r="E296" s="17" t="str">
        <f>_xlfn.XLOOKUP(C296,ТаблицаТовары[ID товара],ТаблицаТовары[Категория])</f>
        <v>Электроника</v>
      </c>
      <c r="F296" s="29">
        <v>2</v>
      </c>
      <c r="G296" s="19">
        <f>_xlfn.XLOOKUP(C296, ТаблицаТовары[ID товара], ТаблицаТовары[Цена], "Цена не найдена")</f>
        <v>39990</v>
      </c>
      <c r="H296" s="25">
        <f>MAX(
    (MONTH(B296)=11)*0.15,
    (MONTH(B296)=3)*0.1,
    (OR(C296="Т-003",C296="Т-009",C296="Т-018"))*0.12,
    (F296&gt;=3)*0.08,
    (VLOOKUP(C296,ТаблицаТовары[[ID товара]:[Категория]],3,FALSE)="Одежда")*0.1,
    0
)</f>
        <v>0</v>
      </c>
      <c r="I296" s="19">
        <f t="shared" si="8"/>
        <v>79980</v>
      </c>
      <c r="J296" s="19">
        <f>F296*((G296*(1-H296)) - _xlfn.XLOOKUP(C296,ТаблицаТовары[ID товара],ТаблицаТовары[Себестоимость],0))</f>
        <v>22980</v>
      </c>
      <c r="K296" s="27">
        <f t="shared" si="9"/>
        <v>0.28732183045761439</v>
      </c>
    </row>
    <row r="297" spans="1:11" x14ac:dyDescent="0.25">
      <c r="A297" s="22" t="s">
        <v>362</v>
      </c>
      <c r="B297" s="15">
        <v>45323</v>
      </c>
      <c r="C297" s="22" t="s">
        <v>41</v>
      </c>
      <c r="D297" s="31" t="str">
        <f>_xlfn.XLOOKUP(C297, ТаблицаТовары[ID товара], ТаблицаТовары[Название])</f>
        <v>Планшет iPad 10.2"</v>
      </c>
      <c r="E297" s="17" t="str">
        <f>_xlfn.XLOOKUP(C297,ТаблицаТовары[ID товара],ТаблицаТовары[Категория])</f>
        <v>Электроника</v>
      </c>
      <c r="F297" s="29">
        <v>1</v>
      </c>
      <c r="G297" s="19">
        <f>_xlfn.XLOOKUP(C297, ТаблицаТовары[ID товара], ТаблицаТовары[Цена], "Цена не найдена")</f>
        <v>44990</v>
      </c>
      <c r="H297" s="25">
        <f>MAX(
    (MONTH(B297)=11)*0.15,
    (MONTH(B297)=3)*0.1,
    (OR(C297="Т-003",C297="Т-009",C297="Т-018"))*0.12,
    (F297&gt;=3)*0.08,
    (VLOOKUP(C297,ТаблицаТовары[[ID товара]:[Категория]],3,FALSE)="Одежда")*0.1,
    0
)</f>
        <v>0</v>
      </c>
      <c r="I297" s="19">
        <f t="shared" si="8"/>
        <v>44990</v>
      </c>
      <c r="J297" s="19">
        <f>F297*((G297*(1-H297)) - _xlfn.XLOOKUP(C297,ТаблицаТовары[ID товара],ТаблицаТовары[Себестоимость],0))</f>
        <v>12490</v>
      </c>
      <c r="K297" s="27">
        <f t="shared" si="9"/>
        <v>0.27761724827739498</v>
      </c>
    </row>
    <row r="298" spans="1:11" x14ac:dyDescent="0.25">
      <c r="A298" s="22" t="s">
        <v>363</v>
      </c>
      <c r="B298" s="15">
        <v>45420</v>
      </c>
      <c r="C298" s="22" t="s">
        <v>16</v>
      </c>
      <c r="D298" s="31" t="str">
        <f>_xlfn.XLOOKUP(C298, ТаблицаТовары[ID товара], ТаблицаТовары[Название])</f>
        <v>Кофемашина DeLonghi</v>
      </c>
      <c r="E298" s="17" t="str">
        <f>_xlfn.XLOOKUP(C298,ТаблицаТовары[ID товара],ТаблицаТовары[Категория])</f>
        <v>Для дома</v>
      </c>
      <c r="F298" s="29">
        <v>2</v>
      </c>
      <c r="G298" s="19">
        <f>_xlfn.XLOOKUP(C298, ТаблицаТовары[ID товара], ТаблицаТовары[Цена], "Цена не найдена")</f>
        <v>45990</v>
      </c>
      <c r="H298" s="25">
        <f>MAX(
    (MONTH(B298)=11)*0.15,
    (MONTH(B298)=3)*0.1,
    (OR(C298="Т-003",C298="Т-009",C298="Т-018"))*0.12,
    (F298&gt;=3)*0.08,
    (VLOOKUP(C298,ТаблицаТовары[[ID товара]:[Категория]],3,FALSE)="Одежда")*0.1,
    0
)</f>
        <v>0</v>
      </c>
      <c r="I298" s="19">
        <f t="shared" si="8"/>
        <v>91980</v>
      </c>
      <c r="J298" s="19">
        <f>F298*((G298*(1-H298)) - _xlfn.XLOOKUP(C298,ТаблицаТовары[ID товара],ТаблицаТовары[Себестоимость],0))</f>
        <v>27180</v>
      </c>
      <c r="K298" s="27">
        <f t="shared" si="9"/>
        <v>0.29549902152641877</v>
      </c>
    </row>
    <row r="299" spans="1:11" x14ac:dyDescent="0.25">
      <c r="A299" s="22" t="s">
        <v>364</v>
      </c>
      <c r="B299" s="15">
        <v>45411</v>
      </c>
      <c r="C299" s="22" t="s">
        <v>48</v>
      </c>
      <c r="D299" s="31" t="str">
        <f>_xlfn.XLOOKUP(C299, ТаблицаТовары[ID товара], ТаблицаТовары[Название])</f>
        <v>Микрофон для стримов</v>
      </c>
      <c r="E299" s="17" t="str">
        <f>_xlfn.XLOOKUP(C299,ТаблицаТовары[ID товара],ТаблицаТовары[Категория])</f>
        <v>Электроника</v>
      </c>
      <c r="F299" s="29">
        <v>3</v>
      </c>
      <c r="G299" s="19">
        <f>_xlfn.XLOOKUP(C299, ТаблицаТовары[ID товара], ТаблицаТовары[Цена], "Цена не найдена")</f>
        <v>12990</v>
      </c>
      <c r="H299" s="25">
        <f>MAX(
    (MONTH(B299)=11)*0.15,
    (MONTH(B299)=3)*0.1,
    (OR(C299="Т-003",C299="Т-009",C299="Т-018"))*0.12,
    (F299&gt;=3)*0.08,
    (VLOOKUP(C299,ТаблицаТовары[[ID товара]:[Категория]],3,FALSE)="Одежда")*0.1,
    0
)</f>
        <v>0.08</v>
      </c>
      <c r="I299" s="19">
        <f t="shared" si="8"/>
        <v>35852.400000000001</v>
      </c>
      <c r="J299" s="19">
        <f>F299*((G299*(1-H299)) - _xlfn.XLOOKUP(C299,ТаблицаТовары[ID товара],ТаблицаТовары[Себестоимость],0))</f>
        <v>9152.4000000000033</v>
      </c>
      <c r="K299" s="27">
        <f t="shared" si="9"/>
        <v>0.25527998125648499</v>
      </c>
    </row>
    <row r="300" spans="1:11" x14ac:dyDescent="0.25">
      <c r="A300" s="22" t="s">
        <v>365</v>
      </c>
      <c r="B300" s="15">
        <v>45302</v>
      </c>
      <c r="C300" s="22" t="s">
        <v>46</v>
      </c>
      <c r="D300" s="31" t="str">
        <f>_xlfn.XLOOKUP(C300, ТаблицаТовары[ID товара], ТаблицаТовары[Название])</f>
        <v>Сумка кожаная женская</v>
      </c>
      <c r="E300" s="17" t="str">
        <f>_xlfn.XLOOKUP(C300,ТаблицаТовары[ID товара],ТаблицаТовары[Категория])</f>
        <v>Аксессуары</v>
      </c>
      <c r="F300" s="29">
        <v>3</v>
      </c>
      <c r="G300" s="19">
        <f>_xlfn.XLOOKUP(C300, ТаблицаТовары[ID товара], ТаблицаТовары[Цена], "Цена не найдена")</f>
        <v>7590</v>
      </c>
      <c r="H300" s="25">
        <f>MAX(
    (MONTH(B300)=11)*0.15,
    (MONTH(B300)=3)*0.1,
    (OR(C300="Т-003",C300="Т-009",C300="Т-018"))*0.12,
    (F300&gt;=3)*0.08,
    (VLOOKUP(C300,ТаблицаТовары[[ID товара]:[Категория]],3,FALSE)="Одежда")*0.1,
    0
)</f>
        <v>0.12</v>
      </c>
      <c r="I300" s="19">
        <f t="shared" si="8"/>
        <v>20037.599999999999</v>
      </c>
      <c r="J300" s="19">
        <f>F300*((G300*(1-H300)) - _xlfn.XLOOKUP(C300,ТаблицаТовары[ID товара],ТаблицаТовары[Себестоимость],0))</f>
        <v>7437.5999999999995</v>
      </c>
      <c r="K300" s="27">
        <f t="shared" si="9"/>
        <v>0.37118217750628818</v>
      </c>
    </row>
    <row r="301" spans="1:11" x14ac:dyDescent="0.25">
      <c r="A301" s="22" t="s">
        <v>366</v>
      </c>
      <c r="B301" s="15">
        <v>45430</v>
      </c>
      <c r="C301" s="22" t="s">
        <v>10</v>
      </c>
      <c r="D301" s="31" t="str">
        <f>_xlfn.XLOOKUP(C301, ТаблицаТовары[ID товара], ТаблицаТовары[Название])</f>
        <v>Книга "Мастерство продаж"</v>
      </c>
      <c r="E301" s="17" t="str">
        <f>_xlfn.XLOOKUP(C301,ТаблицаТовары[ID товара],ТаблицаТовары[Категория])</f>
        <v>Книги</v>
      </c>
      <c r="F301" s="29">
        <v>3</v>
      </c>
      <c r="G301" s="19">
        <f>_xlfn.XLOOKUP(C301, ТаблицаТовары[ID товара], ТаблицаТовары[Цена], "Цена не найдена")</f>
        <v>890</v>
      </c>
      <c r="H301" s="25">
        <f>MAX(
    (MONTH(B301)=11)*0.15,
    (MONTH(B301)=3)*0.1,
    (OR(C301="Т-003",C301="Т-009",C301="Т-018"))*0.12,
    (F301&gt;=3)*0.08,
    (VLOOKUP(C301,ТаблицаТовары[[ID товара]:[Категория]],3,FALSE)="Одежда")*0.1,
    0
)</f>
        <v>0.12</v>
      </c>
      <c r="I301" s="19">
        <f t="shared" si="8"/>
        <v>2349.6</v>
      </c>
      <c r="J301" s="19">
        <f>F301*((G301*(1-H301)) - _xlfn.XLOOKUP(C301,ТаблицаТовары[ID товара],ТаблицаТовары[Себестоимость],0))</f>
        <v>999.60000000000014</v>
      </c>
      <c r="K301" s="27">
        <f t="shared" si="9"/>
        <v>0.42543411644535245</v>
      </c>
    </row>
    <row r="302" spans="1:11" x14ac:dyDescent="0.25">
      <c r="A302" s="22" t="s">
        <v>367</v>
      </c>
      <c r="B302" s="15">
        <v>45632</v>
      </c>
      <c r="C302" s="22" t="s">
        <v>46</v>
      </c>
      <c r="D302" s="31" t="str">
        <f>_xlfn.XLOOKUP(C302, ТаблицаТовары[ID товара], ТаблицаТовары[Название])</f>
        <v>Сумка кожаная женская</v>
      </c>
      <c r="E302" s="17" t="str">
        <f>_xlfn.XLOOKUP(C302,ТаблицаТовары[ID товара],ТаблицаТовары[Категория])</f>
        <v>Аксессуары</v>
      </c>
      <c r="F302" s="29">
        <v>2</v>
      </c>
      <c r="G302" s="19">
        <f>_xlfn.XLOOKUP(C302, ТаблицаТовары[ID товара], ТаблицаТовары[Цена], "Цена не найдена")</f>
        <v>7590</v>
      </c>
      <c r="H302" s="25">
        <f>MAX(
    (MONTH(B302)=11)*0.15,
    (MONTH(B302)=3)*0.1,
    (OR(C302="Т-003",C302="Т-009",C302="Т-018"))*0.12,
    (F302&gt;=3)*0.08,
    (VLOOKUP(C302,ТаблицаТовары[[ID товара]:[Категория]],3,FALSE)="Одежда")*0.1,
    0
)</f>
        <v>0.12</v>
      </c>
      <c r="I302" s="19">
        <f t="shared" si="8"/>
        <v>13358.4</v>
      </c>
      <c r="J302" s="19">
        <f>F302*((G302*(1-H302)) - _xlfn.XLOOKUP(C302,ТаблицаТовары[ID товара],ТаблицаТовары[Себестоимость],0))</f>
        <v>4958.3999999999996</v>
      </c>
      <c r="K302" s="27">
        <f t="shared" si="9"/>
        <v>0.37118217750628818</v>
      </c>
    </row>
    <row r="303" spans="1:11" x14ac:dyDescent="0.25">
      <c r="A303" s="22" t="s">
        <v>368</v>
      </c>
      <c r="B303" s="15">
        <v>45361</v>
      </c>
      <c r="C303" s="22" t="s">
        <v>8</v>
      </c>
      <c r="D303" s="31" t="str">
        <f>_xlfn.XLOOKUP(C303, ТаблицаТовары[ID товара], ТаблицаТовары[Название])</f>
        <v>Наушники Sony WH-1000XM5</v>
      </c>
      <c r="E303" s="17" t="str">
        <f>_xlfn.XLOOKUP(C303,ТаблицаТовары[ID товара],ТаблицаТовары[Категория])</f>
        <v>Электроника</v>
      </c>
      <c r="F303" s="29">
        <v>3</v>
      </c>
      <c r="G303" s="19">
        <f>_xlfn.XLOOKUP(C303, ТаблицаТовары[ID товара], ТаблицаТовары[Цена], "Цена не найдена")</f>
        <v>26990</v>
      </c>
      <c r="H303" s="25">
        <f>MAX(
    (MONTH(B303)=11)*0.15,
    (MONTH(B303)=3)*0.1,
    (OR(C303="Т-003",C303="Т-009",C303="Т-018"))*0.12,
    (F303&gt;=3)*0.08,
    (VLOOKUP(C303,ТаблицаТовары[[ID товара]:[Категория]],3,FALSE)="Одежда")*0.1,
    0
)</f>
        <v>0.1</v>
      </c>
      <c r="I303" s="19">
        <f t="shared" si="8"/>
        <v>72873</v>
      </c>
      <c r="J303" s="19">
        <f>F303*((G303*(1-H303)) - _xlfn.XLOOKUP(C303,ТаблицаТовары[ID товара],ТаблицаТовары[Себестоимость],0))</f>
        <v>16173</v>
      </c>
      <c r="K303" s="27">
        <f t="shared" si="9"/>
        <v>0.22193404964801777</v>
      </c>
    </row>
    <row r="304" spans="1:11" x14ac:dyDescent="0.25">
      <c r="A304" s="22" t="s">
        <v>369</v>
      </c>
      <c r="B304" s="15">
        <v>45387</v>
      </c>
      <c r="C304" s="22" t="s">
        <v>46</v>
      </c>
      <c r="D304" s="31" t="str">
        <f>_xlfn.XLOOKUP(C304, ТаблицаТовары[ID товара], ТаблицаТовары[Название])</f>
        <v>Сумка кожаная женская</v>
      </c>
      <c r="E304" s="17" t="str">
        <f>_xlfn.XLOOKUP(C304,ТаблицаТовары[ID товара],ТаблицаТовары[Категория])</f>
        <v>Аксессуары</v>
      </c>
      <c r="F304" s="29">
        <v>2</v>
      </c>
      <c r="G304" s="19">
        <f>_xlfn.XLOOKUP(C304, ТаблицаТовары[ID товара], ТаблицаТовары[Цена], "Цена не найдена")</f>
        <v>7590</v>
      </c>
      <c r="H304" s="25">
        <f>MAX(
    (MONTH(B304)=11)*0.15,
    (MONTH(B304)=3)*0.1,
    (OR(C304="Т-003",C304="Т-009",C304="Т-018"))*0.12,
    (F304&gt;=3)*0.08,
    (VLOOKUP(C304,ТаблицаТовары[[ID товара]:[Категория]],3,FALSE)="Одежда")*0.1,
    0
)</f>
        <v>0.12</v>
      </c>
      <c r="I304" s="19">
        <f t="shared" si="8"/>
        <v>13358.4</v>
      </c>
      <c r="J304" s="19">
        <f>F304*((G304*(1-H304)) - _xlfn.XLOOKUP(C304,ТаблицаТовары[ID товара],ТаблицаТовары[Себестоимость],0))</f>
        <v>4958.3999999999996</v>
      </c>
      <c r="K304" s="27">
        <f t="shared" si="9"/>
        <v>0.37118217750628818</v>
      </c>
    </row>
    <row r="305" spans="1:11" x14ac:dyDescent="0.25">
      <c r="A305" s="22" t="s">
        <v>370</v>
      </c>
      <c r="B305" s="15">
        <v>45570</v>
      </c>
      <c r="C305" s="22" t="s">
        <v>43</v>
      </c>
      <c r="D305" s="31" t="str">
        <f>_xlfn.XLOOKUP(C305, ТаблицаТовары[ID товара], ТаблицаТовары[Название])</f>
        <v>Беговая дорожка</v>
      </c>
      <c r="E305" s="17" t="str">
        <f>_xlfn.XLOOKUP(C305,ТаблицаТовары[ID товара],ТаблицаТовары[Категория])</f>
        <v>Спорт</v>
      </c>
      <c r="F305" s="29">
        <v>1</v>
      </c>
      <c r="G305" s="19">
        <f>_xlfn.XLOOKUP(C305, ТаблицаТовары[ID товара], ТаблицаТовары[Цена], "Цена не найдена")</f>
        <v>79990</v>
      </c>
      <c r="H305" s="25">
        <f>MAX(
    (MONTH(B305)=11)*0.15,
    (MONTH(B305)=3)*0.1,
    (OR(C305="Т-003",C305="Т-009",C305="Т-018"))*0.12,
    (F305&gt;=3)*0.08,
    (VLOOKUP(C305,ТаблицаТовары[[ID товара]:[Категория]],3,FALSE)="Одежда")*0.1,
    0
)</f>
        <v>0</v>
      </c>
      <c r="I305" s="19">
        <f t="shared" si="8"/>
        <v>79990</v>
      </c>
      <c r="J305" s="19">
        <f>F305*((G305*(1-H305)) - _xlfn.XLOOKUP(C305,ТаблицаТовары[ID товара],ТаблицаТовары[Себестоимость],0))</f>
        <v>21090</v>
      </c>
      <c r="K305" s="27">
        <f t="shared" si="9"/>
        <v>0.26365795724465557</v>
      </c>
    </row>
    <row r="306" spans="1:11" x14ac:dyDescent="0.25">
      <c r="A306" s="22" t="s">
        <v>371</v>
      </c>
      <c r="B306" s="15">
        <v>45430</v>
      </c>
      <c r="C306" s="22" t="s">
        <v>24</v>
      </c>
      <c r="D306" s="31" t="str">
        <f>_xlfn.XLOOKUP(C306, ТаблицаТовары[ID товара], ТаблицаТовары[Название])</f>
        <v>Чайник стеклянный</v>
      </c>
      <c r="E306" s="17" t="str">
        <f>_xlfn.XLOOKUP(C306,ТаблицаТовары[ID товара],ТаблицаТовары[Категория])</f>
        <v>Для дома</v>
      </c>
      <c r="F306" s="29">
        <v>2</v>
      </c>
      <c r="G306" s="19">
        <f>_xlfn.XLOOKUP(C306, ТаблицаТовары[ID товара], ТаблицаТовары[Цена], "Цена не найдена")</f>
        <v>2490</v>
      </c>
      <c r="H306" s="25">
        <f>MAX(
    (MONTH(B306)=11)*0.15,
    (MONTH(B306)=3)*0.1,
    (OR(C306="Т-003",C306="Т-009",C306="Т-018"))*0.12,
    (F306&gt;=3)*0.08,
    (VLOOKUP(C306,ТаблицаТовары[[ID товара]:[Категория]],3,FALSE)="Одежда")*0.1,
    0
)</f>
        <v>0</v>
      </c>
      <c r="I306" s="19">
        <f t="shared" si="8"/>
        <v>4980</v>
      </c>
      <c r="J306" s="19">
        <f>F306*((G306*(1-H306)) - _xlfn.XLOOKUP(C306,ТаблицаТовары[ID товара],ТаблицаТовары[Себестоимость],0))</f>
        <v>2580</v>
      </c>
      <c r="K306" s="27">
        <f t="shared" si="9"/>
        <v>0.51807228915662651</v>
      </c>
    </row>
    <row r="307" spans="1:11" x14ac:dyDescent="0.25">
      <c r="A307" s="22" t="s">
        <v>372</v>
      </c>
      <c r="B307" s="15">
        <v>45514</v>
      </c>
      <c r="C307" s="22" t="s">
        <v>39</v>
      </c>
      <c r="D307" s="31" t="str">
        <f>_xlfn.XLOOKUP(C307, ТаблицаТовары[ID товара], ТаблицаТовары[Название])</f>
        <v>Джинсы Levi's 501</v>
      </c>
      <c r="E307" s="17" t="str">
        <f>_xlfn.XLOOKUP(C307,ТаблицаТовары[ID товара],ТаблицаТовары[Категория])</f>
        <v>Одежда</v>
      </c>
      <c r="F307" s="29">
        <v>1</v>
      </c>
      <c r="G307" s="19">
        <f>_xlfn.XLOOKUP(C307, ТаблицаТовары[ID товара], ТаблицаТовары[Цена], "Цена не найдена")</f>
        <v>5990</v>
      </c>
      <c r="H307" s="25">
        <f>MAX(
    (MONTH(B307)=11)*0.15,
    (MONTH(B307)=3)*0.1,
    (OR(C307="Т-003",C307="Т-009",C307="Т-018"))*0.12,
    (F307&gt;=3)*0.08,
    (VLOOKUP(C307,ТаблицаТовары[[ID товара]:[Категория]],3,FALSE)="Одежда")*0.1,
    0
)</f>
        <v>0.1</v>
      </c>
      <c r="I307" s="19">
        <f t="shared" si="8"/>
        <v>5391</v>
      </c>
      <c r="J307" s="19">
        <f>F307*((G307*(1-H307)) - _xlfn.XLOOKUP(C307,ТаблицаТовары[ID товара],ТаблицаТовары[Себестоимость],0))</f>
        <v>2491</v>
      </c>
      <c r="K307" s="27">
        <f t="shared" si="9"/>
        <v>0.46206640697458728</v>
      </c>
    </row>
    <row r="308" spans="1:11" x14ac:dyDescent="0.25">
      <c r="A308" s="22" t="s">
        <v>373</v>
      </c>
      <c r="B308" s="15">
        <v>45362</v>
      </c>
      <c r="C308" s="22" t="s">
        <v>32</v>
      </c>
      <c r="D308" s="31" t="str">
        <f>_xlfn.XLOOKUP(C308, ТаблицаТовары[ID товара], ТаблицаТовары[Название])</f>
        <v>Рюкзак туристический</v>
      </c>
      <c r="E308" s="17" t="str">
        <f>_xlfn.XLOOKUP(C308,ТаблицаТовары[ID товара],ТаблицаТовары[Категория])</f>
        <v>Аксессуары</v>
      </c>
      <c r="F308" s="29">
        <v>3</v>
      </c>
      <c r="G308" s="19">
        <f>_xlfn.XLOOKUP(C308, ТаблицаТовары[ID товара], ТаблицаТовары[Цена], "Цена не найдена")</f>
        <v>3490</v>
      </c>
      <c r="H308" s="25">
        <f>MAX(
    (MONTH(B308)=11)*0.15,
    (MONTH(B308)=3)*0.1,
    (OR(C308="Т-003",C308="Т-009",C308="Т-018"))*0.12,
    (F308&gt;=3)*0.08,
    (VLOOKUP(C308,ТаблицаТовары[[ID товара]:[Категория]],3,FALSE)="Одежда")*0.1,
    0
)</f>
        <v>0.1</v>
      </c>
      <c r="I308" s="19">
        <f t="shared" si="8"/>
        <v>9423</v>
      </c>
      <c r="J308" s="19">
        <f>F308*((G308*(1-H308)) - _xlfn.XLOOKUP(C308,ТаблицаТовары[ID товара],ТаблицаТовары[Себестоимость],0))</f>
        <v>4023</v>
      </c>
      <c r="K308" s="27">
        <f t="shared" si="9"/>
        <v>0.42693409742120342</v>
      </c>
    </row>
    <row r="309" spans="1:11" x14ac:dyDescent="0.25">
      <c r="A309" s="22" t="s">
        <v>374</v>
      </c>
      <c r="B309" s="15">
        <v>45473</v>
      </c>
      <c r="C309" s="22" t="s">
        <v>28</v>
      </c>
      <c r="D309" s="31" t="str">
        <f>_xlfn.XLOOKUP(C309, ТаблицаТовары[ID товара], ТаблицаТовары[Название])</f>
        <v>Монитор 24" Samsung</v>
      </c>
      <c r="E309" s="17" t="str">
        <f>_xlfn.XLOOKUP(C309,ТаблицаТовары[ID товара],ТаблицаТовары[Категория])</f>
        <v>Электроника</v>
      </c>
      <c r="F309" s="29">
        <v>2</v>
      </c>
      <c r="G309" s="19">
        <f>_xlfn.XLOOKUP(C309, ТаблицаТовары[ID товара], ТаблицаТовары[Цена], "Цена не найдена")</f>
        <v>18990</v>
      </c>
      <c r="H309" s="25">
        <f>MAX(
    (MONTH(B309)=11)*0.15,
    (MONTH(B309)=3)*0.1,
    (OR(C309="Т-003",C309="Т-009",C309="Т-018"))*0.12,
    (F309&gt;=3)*0.08,
    (VLOOKUP(C309,ТаблицаТовары[[ID товара]:[Категория]],3,FALSE)="Одежда")*0.1,
    0
)</f>
        <v>0</v>
      </c>
      <c r="I309" s="19">
        <f t="shared" si="8"/>
        <v>37980</v>
      </c>
      <c r="J309" s="19">
        <f>F309*((G309*(1-H309)) - _xlfn.XLOOKUP(C309,ТаблицаТовары[ID товара],ТаблицаТовары[Себестоимость],0))</f>
        <v>11580</v>
      </c>
      <c r="K309" s="27">
        <f t="shared" si="9"/>
        <v>0.30489731437598738</v>
      </c>
    </row>
    <row r="310" spans="1:11" x14ac:dyDescent="0.25">
      <c r="A310" s="22" t="s">
        <v>375</v>
      </c>
      <c r="B310" s="15">
        <v>45399</v>
      </c>
      <c r="C310" s="22" t="s">
        <v>24</v>
      </c>
      <c r="D310" s="31" t="str">
        <f>_xlfn.XLOOKUP(C310, ТаблицаТовары[ID товара], ТаблицаТовары[Название])</f>
        <v>Чайник стеклянный</v>
      </c>
      <c r="E310" s="17" t="str">
        <f>_xlfn.XLOOKUP(C310,ТаблицаТовары[ID товара],ТаблицаТовары[Категория])</f>
        <v>Для дома</v>
      </c>
      <c r="F310" s="29">
        <v>3</v>
      </c>
      <c r="G310" s="19">
        <f>_xlfn.XLOOKUP(C310, ТаблицаТовары[ID товара], ТаблицаТовары[Цена], "Цена не найдена")</f>
        <v>2490</v>
      </c>
      <c r="H310" s="25">
        <f>MAX(
    (MONTH(B310)=11)*0.15,
    (MONTH(B310)=3)*0.1,
    (OR(C310="Т-003",C310="Т-009",C310="Т-018"))*0.12,
    (F310&gt;=3)*0.08,
    (VLOOKUP(C310,ТаблицаТовары[[ID товара]:[Категория]],3,FALSE)="Одежда")*0.1,
    0
)</f>
        <v>0.08</v>
      </c>
      <c r="I310" s="19">
        <f t="shared" si="8"/>
        <v>6872.4000000000005</v>
      </c>
      <c r="J310" s="19">
        <f>F310*((G310*(1-H310)) - _xlfn.XLOOKUP(C310,ТаблицаТовары[ID товара],ТаблицаТовары[Себестоимость],0))</f>
        <v>3272.4000000000005</v>
      </c>
      <c r="K310" s="27">
        <f t="shared" si="9"/>
        <v>0.47616553169198539</v>
      </c>
    </row>
    <row r="311" spans="1:11" x14ac:dyDescent="0.25">
      <c r="A311" s="22" t="s">
        <v>376</v>
      </c>
      <c r="B311" s="15">
        <v>45521</v>
      </c>
      <c r="C311" s="22" t="s">
        <v>26</v>
      </c>
      <c r="D311" s="31" t="str">
        <f>_xlfn.XLOOKUP(C311, ТаблицаТовары[ID товара], ТаблицаТовары[Название])</f>
        <v>Футболка хлопковая</v>
      </c>
      <c r="E311" s="17" t="str">
        <f>_xlfn.XLOOKUP(C311,ТаблицаТовары[ID товара],ТаблицаТовары[Категория])</f>
        <v>Одежда</v>
      </c>
      <c r="F311" s="29">
        <v>3</v>
      </c>
      <c r="G311" s="19">
        <f>_xlfn.XLOOKUP(C311, ТаблицаТовары[ID товара], ТаблицаТовары[Цена], "Цена не найдена")</f>
        <v>990</v>
      </c>
      <c r="H311" s="25">
        <f>MAX(
    (MONTH(B311)=11)*0.15,
    (MONTH(B311)=3)*0.1,
    (OR(C311="Т-003",C311="Т-009",C311="Т-018"))*0.12,
    (F311&gt;=3)*0.08,
    (VLOOKUP(C311,ТаблицаТовары[[ID товара]:[Категория]],3,FALSE)="Одежда")*0.1,
    0
)</f>
        <v>0.12</v>
      </c>
      <c r="I311" s="19">
        <f t="shared" si="8"/>
        <v>2613.6</v>
      </c>
      <c r="J311" s="19">
        <f>F311*((G311*(1-H311)) - _xlfn.XLOOKUP(C311,ТаблицаТовары[ID товара],ТаблицаТовары[Себестоимость],0))</f>
        <v>1563.6000000000001</v>
      </c>
      <c r="K311" s="27">
        <f t="shared" si="9"/>
        <v>0.59825528007346196</v>
      </c>
    </row>
    <row r="312" spans="1:11" x14ac:dyDescent="0.25">
      <c r="A312" s="22" t="s">
        <v>377</v>
      </c>
      <c r="B312" s="15">
        <v>45565</v>
      </c>
      <c r="C312" s="22" t="s">
        <v>22</v>
      </c>
      <c r="D312" s="31" t="str">
        <f>_xlfn.XLOOKUP(C312, ТаблицаТовары[ID товара], ТаблицаТовары[Название])</f>
        <v>Ноутбук Lenovo IdeaPad</v>
      </c>
      <c r="E312" s="17" t="str">
        <f>_xlfn.XLOOKUP(C312,ТаблицаТовары[ID товара],ТаблицаТовары[Категория])</f>
        <v>Электроника</v>
      </c>
      <c r="F312" s="29">
        <v>3</v>
      </c>
      <c r="G312" s="19">
        <f>_xlfn.XLOOKUP(C312, ТаблицаТовары[ID товара], ТаблицаТовары[Цена], "Цена не найдена")</f>
        <v>64990</v>
      </c>
      <c r="H312" s="25">
        <f>MAX(
    (MONTH(B312)=11)*0.15,
    (MONTH(B312)=3)*0.1,
    (OR(C312="Т-003",C312="Т-009",C312="Т-018"))*0.12,
    (F312&gt;=3)*0.08,
    (VLOOKUP(C312,ТаблицаТовары[[ID товара]:[Категория]],3,FALSE)="Одежда")*0.1,
    0
)</f>
        <v>0.08</v>
      </c>
      <c r="I312" s="19">
        <f t="shared" si="8"/>
        <v>179372.4</v>
      </c>
      <c r="J312" s="19">
        <f>F312*((G312*(1-H312)) - _xlfn.XLOOKUP(C312,ТаблицаТовары[ID товара],ТаблицаТовары[Себестоимость],0))</f>
        <v>35972.400000000009</v>
      </c>
      <c r="K312" s="27">
        <f t="shared" si="9"/>
        <v>0.20054590338312922</v>
      </c>
    </row>
    <row r="313" spans="1:11" x14ac:dyDescent="0.25">
      <c r="A313" s="22" t="s">
        <v>378</v>
      </c>
      <c r="B313" s="15">
        <v>45377</v>
      </c>
      <c r="C313" s="22" t="s">
        <v>24</v>
      </c>
      <c r="D313" s="31" t="str">
        <f>_xlfn.XLOOKUP(C313, ТаблицаТовары[ID товара], ТаблицаТовары[Название])</f>
        <v>Чайник стеклянный</v>
      </c>
      <c r="E313" s="17" t="str">
        <f>_xlfn.XLOOKUP(C313,ТаблицаТовары[ID товара],ТаблицаТовары[Категория])</f>
        <v>Для дома</v>
      </c>
      <c r="F313" s="29">
        <v>3</v>
      </c>
      <c r="G313" s="19">
        <f>_xlfn.XLOOKUP(C313, ТаблицаТовары[ID товара], ТаблицаТовары[Цена], "Цена не найдена")</f>
        <v>2490</v>
      </c>
      <c r="H313" s="25">
        <f>MAX(
    (MONTH(B313)=11)*0.15,
    (MONTH(B313)=3)*0.1,
    (OR(C313="Т-003",C313="Т-009",C313="Т-018"))*0.12,
    (F313&gt;=3)*0.08,
    (VLOOKUP(C313,ТаблицаТовары[[ID товара]:[Категория]],3,FALSE)="Одежда")*0.1,
    0
)</f>
        <v>0.1</v>
      </c>
      <c r="I313" s="19">
        <f t="shared" si="8"/>
        <v>6723</v>
      </c>
      <c r="J313" s="19">
        <f>F313*((G313*(1-H313)) - _xlfn.XLOOKUP(C313,ТаблицаТовары[ID товара],ТаблицаТовары[Себестоимость],0))</f>
        <v>3123</v>
      </c>
      <c r="K313" s="27">
        <f t="shared" si="9"/>
        <v>0.46452476572958501</v>
      </c>
    </row>
    <row r="314" spans="1:11" x14ac:dyDescent="0.25">
      <c r="A314" s="22" t="s">
        <v>379</v>
      </c>
      <c r="B314" s="15">
        <v>45519</v>
      </c>
      <c r="C314" s="22" t="s">
        <v>8</v>
      </c>
      <c r="D314" s="31" t="str">
        <f>_xlfn.XLOOKUP(C314, ТаблицаТовары[ID товара], ТаблицаТовары[Название])</f>
        <v>Наушники Sony WH-1000XM5</v>
      </c>
      <c r="E314" s="17" t="str">
        <f>_xlfn.XLOOKUP(C314,ТаблицаТовары[ID товара],ТаблицаТовары[Категория])</f>
        <v>Электроника</v>
      </c>
      <c r="F314" s="29">
        <v>2</v>
      </c>
      <c r="G314" s="19">
        <f>_xlfn.XLOOKUP(C314, ТаблицаТовары[ID товара], ТаблицаТовары[Цена], "Цена не найдена")</f>
        <v>26990</v>
      </c>
      <c r="H314" s="25">
        <f>MAX(
    (MONTH(B314)=11)*0.15,
    (MONTH(B314)=3)*0.1,
    (OR(C314="Т-003",C314="Т-009",C314="Т-018"))*0.12,
    (F314&gt;=3)*0.08,
    (VLOOKUP(C314,ТаблицаТовары[[ID товара]:[Категория]],3,FALSE)="Одежда")*0.1,
    0
)</f>
        <v>0</v>
      </c>
      <c r="I314" s="19">
        <f t="shared" si="8"/>
        <v>53980</v>
      </c>
      <c r="J314" s="19">
        <f>F314*((G314*(1-H314)) - _xlfn.XLOOKUP(C314,ТаблицаТовары[ID товара],ТаблицаТовары[Себестоимость],0))</f>
        <v>16180</v>
      </c>
      <c r="K314" s="27">
        <f t="shared" si="9"/>
        <v>0.29974064468321598</v>
      </c>
    </row>
    <row r="315" spans="1:11" x14ac:dyDescent="0.25">
      <c r="A315" s="22" t="s">
        <v>380</v>
      </c>
      <c r="B315" s="15">
        <v>45313</v>
      </c>
      <c r="C315" s="22" t="s">
        <v>37</v>
      </c>
      <c r="D315" s="31" t="str">
        <f>_xlfn.XLOOKUP(C315, ТаблицаТовары[ID товара], ТаблицаТовары[Название])</f>
        <v>Набор посуды 12 предметов</v>
      </c>
      <c r="E315" s="17" t="str">
        <f>_xlfn.XLOOKUP(C315,ТаблицаТовары[ID товара],ТаблицаТовары[Категория])</f>
        <v>Для дома</v>
      </c>
      <c r="F315" s="29">
        <v>3</v>
      </c>
      <c r="G315" s="19">
        <f>_xlfn.XLOOKUP(C315, ТаблицаТовары[ID товара], ТаблицаТовары[Цена], "Цена не найдена")</f>
        <v>14990</v>
      </c>
      <c r="H315" s="25">
        <f>MAX(
    (MONTH(B315)=11)*0.15,
    (MONTH(B315)=3)*0.1,
    (OR(C315="Т-003",C315="Т-009",C315="Т-018"))*0.12,
    (F315&gt;=3)*0.08,
    (VLOOKUP(C315,ТаблицаТовары[[ID товара]:[Категория]],3,FALSE)="Одежда")*0.1,
    0
)</f>
        <v>0.08</v>
      </c>
      <c r="I315" s="19">
        <f t="shared" si="8"/>
        <v>41372.400000000001</v>
      </c>
      <c r="J315" s="19">
        <f>F315*((G315*(1-H315)) - _xlfn.XLOOKUP(C315,ТаблицаТовары[ID товара],ТаблицаТовары[Себестоимость],0))</f>
        <v>15572.400000000003</v>
      </c>
      <c r="K315" s="27">
        <f t="shared" si="9"/>
        <v>0.37639585810830417</v>
      </c>
    </row>
    <row r="316" spans="1:11" x14ac:dyDescent="0.25">
      <c r="A316" s="22" t="s">
        <v>381</v>
      </c>
      <c r="B316" s="15">
        <v>45363</v>
      </c>
      <c r="C316" s="22" t="s">
        <v>28</v>
      </c>
      <c r="D316" s="31" t="str">
        <f>_xlfn.XLOOKUP(C316, ТаблицаТовары[ID товара], ТаблицаТовары[Название])</f>
        <v>Монитор 24" Samsung</v>
      </c>
      <c r="E316" s="17" t="str">
        <f>_xlfn.XLOOKUP(C316,ТаблицаТовары[ID товара],ТаблицаТовары[Категория])</f>
        <v>Электроника</v>
      </c>
      <c r="F316" s="29">
        <v>1</v>
      </c>
      <c r="G316" s="19">
        <f>_xlfn.XLOOKUP(C316, ТаблицаТовары[ID товара], ТаблицаТовары[Цена], "Цена не найдена")</f>
        <v>18990</v>
      </c>
      <c r="H316" s="25">
        <f>MAX(
    (MONTH(B316)=11)*0.15,
    (MONTH(B316)=3)*0.1,
    (OR(C316="Т-003",C316="Т-009",C316="Т-018"))*0.12,
    (F316&gt;=3)*0.08,
    (VLOOKUP(C316,ТаблицаТовары[[ID товара]:[Категория]],3,FALSE)="Одежда")*0.1,
    0
)</f>
        <v>0.1</v>
      </c>
      <c r="I316" s="19">
        <f t="shared" si="8"/>
        <v>17091</v>
      </c>
      <c r="J316" s="19">
        <f>F316*((G316*(1-H316)) - _xlfn.XLOOKUP(C316,ТаблицаТовары[ID товара],ТаблицаТовары[Себестоимость],0))</f>
        <v>3891</v>
      </c>
      <c r="K316" s="27">
        <f t="shared" si="9"/>
        <v>0.22766368263998596</v>
      </c>
    </row>
    <row r="317" spans="1:11" x14ac:dyDescent="0.25">
      <c r="A317" s="22" t="s">
        <v>382</v>
      </c>
      <c r="B317" s="15">
        <v>45529</v>
      </c>
      <c r="C317" s="22" t="s">
        <v>48</v>
      </c>
      <c r="D317" s="31" t="str">
        <f>_xlfn.XLOOKUP(C317, ТаблицаТовары[ID товара], ТаблицаТовары[Название])</f>
        <v>Микрофон для стримов</v>
      </c>
      <c r="E317" s="17" t="str">
        <f>_xlfn.XLOOKUP(C317,ТаблицаТовары[ID товара],ТаблицаТовары[Категория])</f>
        <v>Электроника</v>
      </c>
      <c r="F317" s="29">
        <v>1</v>
      </c>
      <c r="G317" s="19">
        <f>_xlfn.XLOOKUP(C317, ТаблицаТовары[ID товара], ТаблицаТовары[Цена], "Цена не найдена")</f>
        <v>12990</v>
      </c>
      <c r="H317" s="25">
        <f>MAX(
    (MONTH(B317)=11)*0.15,
    (MONTH(B317)=3)*0.1,
    (OR(C317="Т-003",C317="Т-009",C317="Т-018"))*0.12,
    (F317&gt;=3)*0.08,
    (VLOOKUP(C317,ТаблицаТовары[[ID товара]:[Категория]],3,FALSE)="Одежда")*0.1,
    0
)</f>
        <v>0</v>
      </c>
      <c r="I317" s="19">
        <f t="shared" si="8"/>
        <v>12990</v>
      </c>
      <c r="J317" s="19">
        <f>F317*((G317*(1-H317)) - _xlfn.XLOOKUP(C317,ТаблицаТовары[ID товара],ТаблицаТовары[Себестоимость],0))</f>
        <v>4090</v>
      </c>
      <c r="K317" s="27">
        <f t="shared" si="9"/>
        <v>0.31485758275596615</v>
      </c>
    </row>
    <row r="318" spans="1:11" x14ac:dyDescent="0.25">
      <c r="A318" s="22" t="s">
        <v>383</v>
      </c>
      <c r="B318" s="15">
        <v>45366</v>
      </c>
      <c r="C318" s="22" t="s">
        <v>43</v>
      </c>
      <c r="D318" s="31" t="str">
        <f>_xlfn.XLOOKUP(C318, ТаблицаТовары[ID товара], ТаблицаТовары[Название])</f>
        <v>Беговая дорожка</v>
      </c>
      <c r="E318" s="17" t="str">
        <f>_xlfn.XLOOKUP(C318,ТаблицаТовары[ID товара],ТаблицаТовары[Категория])</f>
        <v>Спорт</v>
      </c>
      <c r="F318" s="29">
        <v>1</v>
      </c>
      <c r="G318" s="19">
        <f>_xlfn.XLOOKUP(C318, ТаблицаТовары[ID товара], ТаблицаТовары[Цена], "Цена не найдена")</f>
        <v>79990</v>
      </c>
      <c r="H318" s="25">
        <f>MAX(
    (MONTH(B318)=11)*0.15,
    (MONTH(B318)=3)*0.1,
    (OR(C318="Т-003",C318="Т-009",C318="Т-018"))*0.12,
    (F318&gt;=3)*0.08,
    (VLOOKUP(C318,ТаблицаТовары[[ID товара]:[Категория]],3,FALSE)="Одежда")*0.1,
    0
)</f>
        <v>0.1</v>
      </c>
      <c r="I318" s="19">
        <f t="shared" si="8"/>
        <v>71991</v>
      </c>
      <c r="J318" s="19">
        <f>F318*((G318*(1-H318)) - _xlfn.XLOOKUP(C318,ТаблицаТовары[ID товара],ТаблицаТовары[Себестоимость],0))</f>
        <v>13091</v>
      </c>
      <c r="K318" s="27">
        <f t="shared" si="9"/>
        <v>0.18184217471628397</v>
      </c>
    </row>
    <row r="319" spans="1:11" x14ac:dyDescent="0.25">
      <c r="A319" s="22" t="s">
        <v>384</v>
      </c>
      <c r="B319" s="15">
        <v>45362</v>
      </c>
      <c r="C319" s="22" t="s">
        <v>13</v>
      </c>
      <c r="D319" s="31" t="str">
        <f>_xlfn.XLOOKUP(C319, ТаблицаТовары[ID товара], ТаблицаТовары[Название])</f>
        <v>Куртка зимняя North Face</v>
      </c>
      <c r="E319" s="17" t="str">
        <f>_xlfn.XLOOKUP(C319,ТаблицаТовары[ID товара],ТаблицаТовары[Категория])</f>
        <v>Одежда</v>
      </c>
      <c r="F319" s="29">
        <v>1</v>
      </c>
      <c r="G319" s="19">
        <f>_xlfn.XLOOKUP(C319, ТаблицаТовары[ID товара], ТаблицаТовары[Цена], "Цена не найдена")</f>
        <v>12990</v>
      </c>
      <c r="H319" s="25">
        <f>MAX(
    (MONTH(B319)=11)*0.15,
    (MONTH(B319)=3)*0.1,
    (OR(C319="Т-003",C319="Т-009",C319="Т-018"))*0.12,
    (F319&gt;=3)*0.08,
    (VLOOKUP(C319,ТаблицаТовары[[ID товара]:[Категория]],3,FALSE)="Одежда")*0.1,
    0
)</f>
        <v>0.1</v>
      </c>
      <c r="I319" s="19">
        <f t="shared" si="8"/>
        <v>11691</v>
      </c>
      <c r="J319" s="19">
        <f>F319*((G319*(1-H319)) - _xlfn.XLOOKUP(C319,ТаблицаТовары[ID товара],ТаблицаТовары[Себестоимость],0))</f>
        <v>4191</v>
      </c>
      <c r="K319" s="27">
        <f t="shared" si="9"/>
        <v>0.35848088273030537</v>
      </c>
    </row>
    <row r="320" spans="1:11" x14ac:dyDescent="0.25">
      <c r="A320" s="22" t="s">
        <v>385</v>
      </c>
      <c r="B320" s="15">
        <v>45307</v>
      </c>
      <c r="C320" s="22" t="s">
        <v>50</v>
      </c>
      <c r="D320" s="31" t="str">
        <f>_xlfn.XLOOKUP(C320, ТаблицаТовары[ID товара], ТаблицаТовары[Название])</f>
        <v>Йогуртница</v>
      </c>
      <c r="E320" s="17" t="str">
        <f>_xlfn.XLOOKUP(C320,ТаблицаТовары[ID товара],ТаблицаТовары[Категория])</f>
        <v>Для дома</v>
      </c>
      <c r="F320" s="29">
        <v>2</v>
      </c>
      <c r="G320" s="19">
        <f>_xlfn.XLOOKUP(C320, ТаблицаТовары[ID товара], ТаблицаТовары[Цена], "Цена не найдена")</f>
        <v>4990</v>
      </c>
      <c r="H320" s="25">
        <f>MAX(
    (MONTH(B320)=11)*0.15,
    (MONTH(B320)=3)*0.1,
    (OR(C320="Т-003",C320="Т-009",C320="Т-018"))*0.12,
    (F320&gt;=3)*0.08,
    (VLOOKUP(C320,ТаблицаТовары[[ID товара]:[Категория]],3,FALSE)="Одежда")*0.1,
    0
)</f>
        <v>0</v>
      </c>
      <c r="I320" s="19">
        <f t="shared" si="8"/>
        <v>9980</v>
      </c>
      <c r="J320" s="19">
        <f>F320*((G320*(1-H320)) - _xlfn.XLOOKUP(C320,ТаблицаТовары[ID товара],ТаблицаТовары[Себестоимость],0))</f>
        <v>3580</v>
      </c>
      <c r="K320" s="27">
        <f t="shared" si="9"/>
        <v>0.3587174348697395</v>
      </c>
    </row>
    <row r="321" spans="1:11" x14ac:dyDescent="0.25">
      <c r="A321" s="22" t="s">
        <v>386</v>
      </c>
      <c r="B321" s="15">
        <v>45482</v>
      </c>
      <c r="C321" s="22" t="s">
        <v>8</v>
      </c>
      <c r="D321" s="31" t="str">
        <f>_xlfn.XLOOKUP(C321, ТаблицаТовары[ID товара], ТаблицаТовары[Название])</f>
        <v>Наушники Sony WH-1000XM5</v>
      </c>
      <c r="E321" s="17" t="str">
        <f>_xlfn.XLOOKUP(C321,ТаблицаТовары[ID товара],ТаблицаТовары[Категория])</f>
        <v>Электроника</v>
      </c>
      <c r="F321" s="29">
        <v>2</v>
      </c>
      <c r="G321" s="19">
        <f>_xlfn.XLOOKUP(C321, ТаблицаТовары[ID товара], ТаблицаТовары[Цена], "Цена не найдена")</f>
        <v>26990</v>
      </c>
      <c r="H321" s="25">
        <f>MAX(
    (MONTH(B321)=11)*0.15,
    (MONTH(B321)=3)*0.1,
    (OR(C321="Т-003",C321="Т-009",C321="Т-018"))*0.12,
    (F321&gt;=3)*0.08,
    (VLOOKUP(C321,ТаблицаТовары[[ID товара]:[Категория]],3,FALSE)="Одежда")*0.1,
    0
)</f>
        <v>0</v>
      </c>
      <c r="I321" s="19">
        <f t="shared" si="8"/>
        <v>53980</v>
      </c>
      <c r="J321" s="19">
        <f>F321*((G321*(1-H321)) - _xlfn.XLOOKUP(C321,ТаблицаТовары[ID товара],ТаблицаТовары[Себестоимость],0))</f>
        <v>16180</v>
      </c>
      <c r="K321" s="27">
        <f t="shared" si="9"/>
        <v>0.29974064468321598</v>
      </c>
    </row>
    <row r="322" spans="1:11" x14ac:dyDescent="0.25">
      <c r="A322" s="22" t="s">
        <v>387</v>
      </c>
      <c r="B322" s="15">
        <v>45488</v>
      </c>
      <c r="C322" s="22" t="s">
        <v>35</v>
      </c>
      <c r="D322" s="31" t="str">
        <f>_xlfn.XLOOKUP(C322, ТаблицаТовары[ID товара], ТаблицаТовары[Название])</f>
        <v>Умные часы Apple Watch</v>
      </c>
      <c r="E322" s="17" t="str">
        <f>_xlfn.XLOOKUP(C322,ТаблицаТовары[ID товара],ТаблицаТовары[Категория])</f>
        <v>Электроника</v>
      </c>
      <c r="F322" s="29">
        <v>3</v>
      </c>
      <c r="G322" s="19">
        <f>_xlfn.XLOOKUP(C322, ТаблицаТовары[ID товара], ТаблицаТовары[Цена], "Цена не найдена")</f>
        <v>39990</v>
      </c>
      <c r="H322" s="25">
        <f>MAX(
    (MONTH(B322)=11)*0.15,
    (MONTH(B322)=3)*0.1,
    (OR(C322="Т-003",C322="Т-009",C322="Т-018"))*0.12,
    (F322&gt;=3)*0.08,
    (VLOOKUP(C322,ТаблицаТовары[[ID товара]:[Категория]],3,FALSE)="Одежда")*0.1,
    0
)</f>
        <v>0.08</v>
      </c>
      <c r="I322" s="19">
        <f t="shared" si="8"/>
        <v>110372.40000000001</v>
      </c>
      <c r="J322" s="19">
        <f>F322*((G322*(1-H322)) - _xlfn.XLOOKUP(C322,ТаблицаТовары[ID товара],ТаблицаТовары[Себестоимость],0))</f>
        <v>24872.400000000009</v>
      </c>
      <c r="K322" s="27">
        <f t="shared" si="9"/>
        <v>0.22534981571479831</v>
      </c>
    </row>
    <row r="323" spans="1:11" x14ac:dyDescent="0.25">
      <c r="A323" s="22" t="s">
        <v>388</v>
      </c>
      <c r="B323" s="15">
        <v>45612</v>
      </c>
      <c r="C323" s="22" t="s">
        <v>28</v>
      </c>
      <c r="D323" s="31" t="str">
        <f>_xlfn.XLOOKUP(C323, ТаблицаТовары[ID товара], ТаблицаТовары[Название])</f>
        <v>Монитор 24" Samsung</v>
      </c>
      <c r="E323" s="17" t="str">
        <f>_xlfn.XLOOKUP(C323,ТаблицаТовары[ID товара],ТаблицаТовары[Категория])</f>
        <v>Электроника</v>
      </c>
      <c r="F323" s="29">
        <v>3</v>
      </c>
      <c r="G323" s="19">
        <f>_xlfn.XLOOKUP(C323, ТаблицаТовары[ID товара], ТаблицаТовары[Цена], "Цена не найдена")</f>
        <v>18990</v>
      </c>
      <c r="H323" s="25">
        <f>MAX(
    (MONTH(B323)=11)*0.15,
    (MONTH(B323)=3)*0.1,
    (OR(C323="Т-003",C323="Т-009",C323="Т-018"))*0.12,
    (F323&gt;=3)*0.08,
    (VLOOKUP(C323,ТаблицаТовары[[ID товара]:[Категория]],3,FALSE)="Одежда")*0.1,
    0
)</f>
        <v>0.15</v>
      </c>
      <c r="I323" s="19">
        <f t="shared" ref="I323:I386" si="10">F323*G323*(1-H323)</f>
        <v>48424.5</v>
      </c>
      <c r="J323" s="19">
        <f>F323*((G323*(1-H323)) - _xlfn.XLOOKUP(C323,ТаблицаТовары[ID товара],ТаблицаТовары[Себестоимость],0))</f>
        <v>8824.5</v>
      </c>
      <c r="K323" s="27">
        <f t="shared" ref="K323:K386" si="11">IFERROR(J323/I323, 0)</f>
        <v>0.18223213455998513</v>
      </c>
    </row>
    <row r="324" spans="1:11" x14ac:dyDescent="0.25">
      <c r="A324" s="22" t="s">
        <v>389</v>
      </c>
      <c r="B324" s="15">
        <v>45443</v>
      </c>
      <c r="C324" s="22" t="s">
        <v>39</v>
      </c>
      <c r="D324" s="31" t="str">
        <f>_xlfn.XLOOKUP(C324, ТаблицаТовары[ID товара], ТаблицаТовары[Название])</f>
        <v>Джинсы Levi's 501</v>
      </c>
      <c r="E324" s="17" t="str">
        <f>_xlfn.XLOOKUP(C324,ТаблицаТовары[ID товара],ТаблицаТовары[Категория])</f>
        <v>Одежда</v>
      </c>
      <c r="F324" s="29">
        <v>3</v>
      </c>
      <c r="G324" s="19">
        <f>_xlfn.XLOOKUP(C324, ТаблицаТовары[ID товара], ТаблицаТовары[Цена], "Цена не найдена")</f>
        <v>5990</v>
      </c>
      <c r="H324" s="25">
        <f>MAX(
    (MONTH(B324)=11)*0.15,
    (MONTH(B324)=3)*0.1,
    (OR(C324="Т-003",C324="Т-009",C324="Т-018"))*0.12,
    (F324&gt;=3)*0.08,
    (VLOOKUP(C324,ТаблицаТовары[[ID товара]:[Категория]],3,FALSE)="Одежда")*0.1,
    0
)</f>
        <v>0.1</v>
      </c>
      <c r="I324" s="19">
        <f t="shared" si="10"/>
        <v>16173</v>
      </c>
      <c r="J324" s="19">
        <f>F324*((G324*(1-H324)) - _xlfn.XLOOKUP(C324,ТаблицаТовары[ID товара],ТаблицаТовары[Себестоимость],0))</f>
        <v>7473</v>
      </c>
      <c r="K324" s="27">
        <f t="shared" si="11"/>
        <v>0.46206640697458728</v>
      </c>
    </row>
    <row r="325" spans="1:11" x14ac:dyDescent="0.25">
      <c r="A325" s="22" t="s">
        <v>390</v>
      </c>
      <c r="B325" s="15">
        <v>45486</v>
      </c>
      <c r="C325" s="22" t="s">
        <v>32</v>
      </c>
      <c r="D325" s="31" t="str">
        <f>_xlfn.XLOOKUP(C325, ТаблицаТовары[ID товара], ТаблицаТовары[Название])</f>
        <v>Рюкзак туристический</v>
      </c>
      <c r="E325" s="17" t="str">
        <f>_xlfn.XLOOKUP(C325,ТаблицаТовары[ID товара],ТаблицаТовары[Категория])</f>
        <v>Аксессуары</v>
      </c>
      <c r="F325" s="29">
        <v>1</v>
      </c>
      <c r="G325" s="19">
        <f>_xlfn.XLOOKUP(C325, ТаблицаТовары[ID товара], ТаблицаТовары[Цена], "Цена не найдена")</f>
        <v>3490</v>
      </c>
      <c r="H325" s="25">
        <f>MAX(
    (MONTH(B325)=11)*0.15,
    (MONTH(B325)=3)*0.1,
    (OR(C325="Т-003",C325="Т-009",C325="Т-018"))*0.12,
    (F325&gt;=3)*0.08,
    (VLOOKUP(C325,ТаблицаТовары[[ID товара]:[Категория]],3,FALSE)="Одежда")*0.1,
    0
)</f>
        <v>0</v>
      </c>
      <c r="I325" s="19">
        <f t="shared" si="10"/>
        <v>3490</v>
      </c>
      <c r="J325" s="19">
        <f>F325*((G325*(1-H325)) - _xlfn.XLOOKUP(C325,ТаблицаТовары[ID товара],ТаблицаТовары[Себестоимость],0))</f>
        <v>1690</v>
      </c>
      <c r="K325" s="27">
        <f t="shared" si="11"/>
        <v>0.48424068767908307</v>
      </c>
    </row>
    <row r="326" spans="1:11" x14ac:dyDescent="0.25">
      <c r="A326" s="22" t="s">
        <v>391</v>
      </c>
      <c r="B326" s="15">
        <v>45588</v>
      </c>
      <c r="C326" s="22" t="s">
        <v>19</v>
      </c>
      <c r="D326" s="31" t="str">
        <f>_xlfn.XLOOKUP(C326, ТаблицаТовары[ID товара], ТаблицаТовары[Название])</f>
        <v>Кроссовки Nike Air Max</v>
      </c>
      <c r="E326" s="17" t="str">
        <f>_xlfn.XLOOKUP(C326,ТаблицаТовары[ID товара],ТаблицаТовары[Категория])</f>
        <v>Обувь</v>
      </c>
      <c r="F326" s="29">
        <v>3</v>
      </c>
      <c r="G326" s="19">
        <f>_xlfn.XLOOKUP(C326, ТаблицаТовары[ID товара], ТаблицаТовары[Цена], "Цена не найдена")</f>
        <v>8990</v>
      </c>
      <c r="H326" s="25">
        <f>MAX(
    (MONTH(B326)=11)*0.15,
    (MONTH(B326)=3)*0.1,
    (OR(C326="Т-003",C326="Т-009",C326="Т-018"))*0.12,
    (F326&gt;=3)*0.08,
    (VLOOKUP(C326,ТаблицаТовары[[ID товара]:[Категория]],3,FALSE)="Одежда")*0.1,
    0
)</f>
        <v>0.08</v>
      </c>
      <c r="I326" s="19">
        <f t="shared" si="10"/>
        <v>24812.400000000001</v>
      </c>
      <c r="J326" s="19">
        <f>F326*((G326*(1-H326)) - _xlfn.XLOOKUP(C326,ТаблицаТовары[ID товара],ТаблицаТовары[Себестоимость],0))</f>
        <v>9212.4000000000033</v>
      </c>
      <c r="K326" s="27">
        <f t="shared" si="11"/>
        <v>0.37128210088504143</v>
      </c>
    </row>
    <row r="327" spans="1:11" x14ac:dyDescent="0.25">
      <c r="A327" s="22" t="s">
        <v>392</v>
      </c>
      <c r="B327" s="15">
        <v>45565</v>
      </c>
      <c r="C327" s="22" t="s">
        <v>35</v>
      </c>
      <c r="D327" s="31" t="str">
        <f>_xlfn.XLOOKUP(C327, ТаблицаТовары[ID товара], ТаблицаТовары[Название])</f>
        <v>Умные часы Apple Watch</v>
      </c>
      <c r="E327" s="17" t="str">
        <f>_xlfn.XLOOKUP(C327,ТаблицаТовары[ID товара],ТаблицаТовары[Категория])</f>
        <v>Электроника</v>
      </c>
      <c r="F327" s="29">
        <v>3</v>
      </c>
      <c r="G327" s="19">
        <f>_xlfn.XLOOKUP(C327, ТаблицаТовары[ID товара], ТаблицаТовары[Цена], "Цена не найдена")</f>
        <v>39990</v>
      </c>
      <c r="H327" s="25">
        <f>MAX(
    (MONTH(B327)=11)*0.15,
    (MONTH(B327)=3)*0.1,
    (OR(C327="Т-003",C327="Т-009",C327="Т-018"))*0.12,
    (F327&gt;=3)*0.08,
    (VLOOKUP(C327,ТаблицаТовары[[ID товара]:[Категория]],3,FALSE)="Одежда")*0.1,
    0
)</f>
        <v>0.08</v>
      </c>
      <c r="I327" s="19">
        <f t="shared" si="10"/>
        <v>110372.40000000001</v>
      </c>
      <c r="J327" s="19">
        <f>F327*((G327*(1-H327)) - _xlfn.XLOOKUP(C327,ТаблицаТовары[ID товара],ТаблицаТовары[Себестоимость],0))</f>
        <v>24872.400000000009</v>
      </c>
      <c r="K327" s="27">
        <f t="shared" si="11"/>
        <v>0.22534981571479831</v>
      </c>
    </row>
    <row r="328" spans="1:11" x14ac:dyDescent="0.25">
      <c r="A328" s="22" t="s">
        <v>393</v>
      </c>
      <c r="B328" s="15">
        <v>45458</v>
      </c>
      <c r="C328" s="22" t="s">
        <v>5</v>
      </c>
      <c r="D328" s="31" t="str">
        <f>_xlfn.XLOOKUP(C328, ТаблицаТовары[ID товара], ТаблицаТовары[Название])</f>
        <v>Смартфон Galaxy A54</v>
      </c>
      <c r="E328" s="17" t="str">
        <f>_xlfn.XLOOKUP(C328,ТаблицаТовары[ID товара],ТаблицаТовары[Категория])</f>
        <v>Электроника</v>
      </c>
      <c r="F328" s="29">
        <v>3</v>
      </c>
      <c r="G328" s="19">
        <f>_xlfn.XLOOKUP(C328, ТаблицаТовары[ID товара], ТаблицаТовары[Цена], "Цена не найдена")</f>
        <v>29990</v>
      </c>
      <c r="H328" s="25">
        <f>MAX(
    (MONTH(B328)=11)*0.15,
    (MONTH(B328)=3)*0.1,
    (OR(C328="Т-003",C328="Т-009",C328="Т-018"))*0.12,
    (F328&gt;=3)*0.08,
    (VLOOKUP(C328,ТаблицаТовары[[ID товара]:[Категория]],3,FALSE)="Одежда")*0.1,
    0
)</f>
        <v>0.08</v>
      </c>
      <c r="I328" s="19">
        <f t="shared" si="10"/>
        <v>82772.400000000009</v>
      </c>
      <c r="J328" s="19">
        <f>F328*((G328*(1-H328)) - _xlfn.XLOOKUP(C328,ТаблицаТовары[ID товара],ТаблицаТовары[Себестоимость],0))</f>
        <v>18272.400000000009</v>
      </c>
      <c r="K328" s="27">
        <f t="shared" si="11"/>
        <v>0.22075474433506828</v>
      </c>
    </row>
    <row r="329" spans="1:11" x14ac:dyDescent="0.25">
      <c r="A329" s="22" t="s">
        <v>394</v>
      </c>
      <c r="B329" s="15">
        <v>45436</v>
      </c>
      <c r="C329" s="22" t="s">
        <v>30</v>
      </c>
      <c r="D329" s="31" t="str">
        <f>_xlfn.XLOOKUP(C329, ТаблицаТовары[ID товара], ТаблицаТовары[Название])</f>
        <v>Кресло офисное</v>
      </c>
      <c r="E329" s="17" t="str">
        <f>_xlfn.XLOOKUP(C329,ТаблицаТовары[ID товара],ТаблицаТовары[Категория])</f>
        <v>Для дома</v>
      </c>
      <c r="F329" s="29">
        <v>3</v>
      </c>
      <c r="G329" s="19">
        <f>_xlfn.XLOOKUP(C329, ТаблицаТовары[ID товара], ТаблицаТовары[Цена], "Цена не найдена")</f>
        <v>21990</v>
      </c>
      <c r="H329" s="25">
        <f>MAX(
    (MONTH(B329)=11)*0.15,
    (MONTH(B329)=3)*0.1,
    (OR(C329="Т-003",C329="Т-009",C329="Т-018"))*0.12,
    (F329&gt;=3)*0.08,
    (VLOOKUP(C329,ТаблицаТовары[[ID товара]:[Категория]],3,FALSE)="Одежда")*0.1,
    0
)</f>
        <v>0.08</v>
      </c>
      <c r="I329" s="19">
        <f t="shared" si="10"/>
        <v>60692.4</v>
      </c>
      <c r="J329" s="19">
        <f>F329*((G329*(1-H329)) - _xlfn.XLOOKUP(C329,ТаблицаТовары[ID товара],ТаблицаТовары[Себестоимость],0))</f>
        <v>17192.399999999998</v>
      </c>
      <c r="K329" s="27">
        <f t="shared" si="11"/>
        <v>0.28327105205923636</v>
      </c>
    </row>
    <row r="330" spans="1:11" x14ac:dyDescent="0.25">
      <c r="A330" s="22" t="s">
        <v>395</v>
      </c>
      <c r="B330" s="15">
        <v>45393</v>
      </c>
      <c r="C330" s="22" t="s">
        <v>48</v>
      </c>
      <c r="D330" s="31" t="str">
        <f>_xlfn.XLOOKUP(C330, ТаблицаТовары[ID товара], ТаблицаТовары[Название])</f>
        <v>Микрофон для стримов</v>
      </c>
      <c r="E330" s="17" t="str">
        <f>_xlfn.XLOOKUP(C330,ТаблицаТовары[ID товара],ТаблицаТовары[Категория])</f>
        <v>Электроника</v>
      </c>
      <c r="F330" s="29">
        <v>1</v>
      </c>
      <c r="G330" s="19">
        <f>_xlfn.XLOOKUP(C330, ТаблицаТовары[ID товара], ТаблицаТовары[Цена], "Цена не найдена")</f>
        <v>12990</v>
      </c>
      <c r="H330" s="25">
        <f>MAX(
    (MONTH(B330)=11)*0.15,
    (MONTH(B330)=3)*0.1,
    (OR(C330="Т-003",C330="Т-009",C330="Т-018"))*0.12,
    (F330&gt;=3)*0.08,
    (VLOOKUP(C330,ТаблицаТовары[[ID товара]:[Категория]],3,FALSE)="Одежда")*0.1,
    0
)</f>
        <v>0</v>
      </c>
      <c r="I330" s="19">
        <f t="shared" si="10"/>
        <v>12990</v>
      </c>
      <c r="J330" s="19">
        <f>F330*((G330*(1-H330)) - _xlfn.XLOOKUP(C330,ТаблицаТовары[ID товара],ТаблицаТовары[Себестоимость],0))</f>
        <v>4090</v>
      </c>
      <c r="K330" s="27">
        <f t="shared" si="11"/>
        <v>0.31485758275596615</v>
      </c>
    </row>
    <row r="331" spans="1:11" x14ac:dyDescent="0.25">
      <c r="A331" s="22" t="s">
        <v>396</v>
      </c>
      <c r="B331" s="15">
        <v>45487</v>
      </c>
      <c r="C331" s="22" t="s">
        <v>13</v>
      </c>
      <c r="D331" s="31" t="str">
        <f>_xlfn.XLOOKUP(C331, ТаблицаТовары[ID товара], ТаблицаТовары[Название])</f>
        <v>Куртка зимняя North Face</v>
      </c>
      <c r="E331" s="17" t="str">
        <f>_xlfn.XLOOKUP(C331,ТаблицаТовары[ID товара],ТаблицаТовары[Категория])</f>
        <v>Одежда</v>
      </c>
      <c r="F331" s="29">
        <v>3</v>
      </c>
      <c r="G331" s="19">
        <f>_xlfn.XLOOKUP(C331, ТаблицаТовары[ID товара], ТаблицаТовары[Цена], "Цена не найдена")</f>
        <v>12990</v>
      </c>
      <c r="H331" s="25">
        <f>MAX(
    (MONTH(B331)=11)*0.15,
    (MONTH(B331)=3)*0.1,
    (OR(C331="Т-003",C331="Т-009",C331="Т-018"))*0.12,
    (F331&gt;=3)*0.08,
    (VLOOKUP(C331,ТаблицаТовары[[ID товара]:[Категория]],3,FALSE)="Одежда")*0.1,
    0
)</f>
        <v>0.1</v>
      </c>
      <c r="I331" s="19">
        <f t="shared" si="10"/>
        <v>35073</v>
      </c>
      <c r="J331" s="19">
        <f>F331*((G331*(1-H331)) - _xlfn.XLOOKUP(C331,ТаблицаТовары[ID товара],ТаблицаТовары[Себестоимость],0))</f>
        <v>12573</v>
      </c>
      <c r="K331" s="27">
        <f t="shared" si="11"/>
        <v>0.35848088273030537</v>
      </c>
    </row>
    <row r="332" spans="1:11" x14ac:dyDescent="0.25">
      <c r="A332" s="22" t="s">
        <v>397</v>
      </c>
      <c r="B332" s="15">
        <v>45433</v>
      </c>
      <c r="C332" s="22" t="s">
        <v>8</v>
      </c>
      <c r="D332" s="31" t="str">
        <f>_xlfn.XLOOKUP(C332, ТаблицаТовары[ID товара], ТаблицаТовары[Название])</f>
        <v>Наушники Sony WH-1000XM5</v>
      </c>
      <c r="E332" s="17" t="str">
        <f>_xlfn.XLOOKUP(C332,ТаблицаТовары[ID товара],ТаблицаТовары[Категория])</f>
        <v>Электроника</v>
      </c>
      <c r="F332" s="29">
        <v>3</v>
      </c>
      <c r="G332" s="19">
        <f>_xlfn.XLOOKUP(C332, ТаблицаТовары[ID товара], ТаблицаТовары[Цена], "Цена не найдена")</f>
        <v>26990</v>
      </c>
      <c r="H332" s="25">
        <f>MAX(
    (MONTH(B332)=11)*0.15,
    (MONTH(B332)=3)*0.1,
    (OR(C332="Т-003",C332="Т-009",C332="Т-018"))*0.12,
    (F332&gt;=3)*0.08,
    (VLOOKUP(C332,ТаблицаТовары[[ID товара]:[Категория]],3,FALSE)="Одежда")*0.1,
    0
)</f>
        <v>0.08</v>
      </c>
      <c r="I332" s="19">
        <f t="shared" si="10"/>
        <v>74492.400000000009</v>
      </c>
      <c r="J332" s="19">
        <f>F332*((G332*(1-H332)) - _xlfn.XLOOKUP(C332,ТаблицаТовары[ID товара],ТаблицаТовары[Себестоимость],0))</f>
        <v>17792.399999999998</v>
      </c>
      <c r="K332" s="27">
        <f t="shared" si="11"/>
        <v>0.23884852682958255</v>
      </c>
    </row>
    <row r="333" spans="1:11" x14ac:dyDescent="0.25">
      <c r="A333" s="22" t="s">
        <v>398</v>
      </c>
      <c r="B333" s="15">
        <v>45545</v>
      </c>
      <c r="C333" s="22" t="s">
        <v>13</v>
      </c>
      <c r="D333" s="31" t="str">
        <f>_xlfn.XLOOKUP(C333, ТаблицаТовары[ID товара], ТаблицаТовары[Название])</f>
        <v>Куртка зимняя North Face</v>
      </c>
      <c r="E333" s="17" t="str">
        <f>_xlfn.XLOOKUP(C333,ТаблицаТовары[ID товара],ТаблицаТовары[Категория])</f>
        <v>Одежда</v>
      </c>
      <c r="F333" s="29">
        <v>2</v>
      </c>
      <c r="G333" s="19">
        <f>_xlfn.XLOOKUP(C333, ТаблицаТовары[ID товара], ТаблицаТовары[Цена], "Цена не найдена")</f>
        <v>12990</v>
      </c>
      <c r="H333" s="25">
        <f>MAX(
    (MONTH(B333)=11)*0.15,
    (MONTH(B333)=3)*0.1,
    (OR(C333="Т-003",C333="Т-009",C333="Т-018"))*0.12,
    (F333&gt;=3)*0.08,
    (VLOOKUP(C333,ТаблицаТовары[[ID товара]:[Категория]],3,FALSE)="Одежда")*0.1,
    0
)</f>
        <v>0.1</v>
      </c>
      <c r="I333" s="19">
        <f t="shared" si="10"/>
        <v>23382</v>
      </c>
      <c r="J333" s="19">
        <f>F333*((G333*(1-H333)) - _xlfn.XLOOKUP(C333,ТаблицаТовары[ID товара],ТаблицаТовары[Себестоимость],0))</f>
        <v>8382</v>
      </c>
      <c r="K333" s="27">
        <f t="shared" si="11"/>
        <v>0.35848088273030537</v>
      </c>
    </row>
    <row r="334" spans="1:11" x14ac:dyDescent="0.25">
      <c r="A334" s="22" t="s">
        <v>399</v>
      </c>
      <c r="B334" s="15">
        <v>45612</v>
      </c>
      <c r="C334" s="22" t="s">
        <v>22</v>
      </c>
      <c r="D334" s="31" t="str">
        <f>_xlfn.XLOOKUP(C334, ТаблицаТовары[ID товара], ТаблицаТовары[Название])</f>
        <v>Ноутбук Lenovo IdeaPad</v>
      </c>
      <c r="E334" s="17" t="str">
        <f>_xlfn.XLOOKUP(C334,ТаблицаТовары[ID товара],ТаблицаТовары[Категория])</f>
        <v>Электроника</v>
      </c>
      <c r="F334" s="29">
        <v>3</v>
      </c>
      <c r="G334" s="19">
        <f>_xlfn.XLOOKUP(C334, ТаблицаТовары[ID товара], ТаблицаТовары[Цена], "Цена не найдена")</f>
        <v>64990</v>
      </c>
      <c r="H334" s="25">
        <f>MAX(
    (MONTH(B334)=11)*0.15,
    (MONTH(B334)=3)*0.1,
    (OR(C334="Т-003",C334="Т-009",C334="Т-018"))*0.12,
    (F334&gt;=3)*0.08,
    (VLOOKUP(C334,ТаблицаТовары[[ID товара]:[Категория]],3,FALSE)="Одежда")*0.1,
    0
)</f>
        <v>0.15</v>
      </c>
      <c r="I334" s="19">
        <f t="shared" si="10"/>
        <v>165724.5</v>
      </c>
      <c r="J334" s="19">
        <f>F334*((G334*(1-H334)) - _xlfn.XLOOKUP(C334,ТаблицаТовары[ID товара],ТаблицаТовары[Себестоимость],0))</f>
        <v>22324.5</v>
      </c>
      <c r="K334" s="27">
        <f t="shared" si="11"/>
        <v>0.13470850719115157</v>
      </c>
    </row>
    <row r="335" spans="1:11" x14ac:dyDescent="0.25">
      <c r="A335" s="22" t="s">
        <v>400</v>
      </c>
      <c r="B335" s="15">
        <v>45638</v>
      </c>
      <c r="C335" s="22" t="s">
        <v>43</v>
      </c>
      <c r="D335" s="31" t="str">
        <f>_xlfn.XLOOKUP(C335, ТаблицаТовары[ID товара], ТаблицаТовары[Название])</f>
        <v>Беговая дорожка</v>
      </c>
      <c r="E335" s="17" t="str">
        <f>_xlfn.XLOOKUP(C335,ТаблицаТовары[ID товара],ТаблицаТовары[Категория])</f>
        <v>Спорт</v>
      </c>
      <c r="F335" s="29">
        <v>3</v>
      </c>
      <c r="G335" s="19">
        <f>_xlfn.XLOOKUP(C335, ТаблицаТовары[ID товара], ТаблицаТовары[Цена], "Цена не найдена")</f>
        <v>79990</v>
      </c>
      <c r="H335" s="25">
        <f>MAX(
    (MONTH(B335)=11)*0.15,
    (MONTH(B335)=3)*0.1,
    (OR(C335="Т-003",C335="Т-009",C335="Т-018"))*0.12,
    (F335&gt;=3)*0.08,
    (VLOOKUP(C335,ТаблицаТовары[[ID товара]:[Категория]],3,FALSE)="Одежда")*0.1,
    0
)</f>
        <v>0.08</v>
      </c>
      <c r="I335" s="19">
        <f t="shared" si="10"/>
        <v>220772.40000000002</v>
      </c>
      <c r="J335" s="19">
        <f>F335*((G335*(1-H335)) - _xlfn.XLOOKUP(C335,ТаблицаТовары[ID товара],ТаблицаТовары[Себестоимость],0))</f>
        <v>44072.400000000009</v>
      </c>
      <c r="K335" s="27">
        <f t="shared" si="11"/>
        <v>0.19962821439636477</v>
      </c>
    </row>
    <row r="336" spans="1:11" x14ac:dyDescent="0.25">
      <c r="A336" s="22" t="s">
        <v>401</v>
      </c>
      <c r="B336" s="15">
        <v>45411</v>
      </c>
      <c r="C336" s="22" t="s">
        <v>48</v>
      </c>
      <c r="D336" s="31" t="str">
        <f>_xlfn.XLOOKUP(C336, ТаблицаТовары[ID товара], ТаблицаТовары[Название])</f>
        <v>Микрофон для стримов</v>
      </c>
      <c r="E336" s="17" t="str">
        <f>_xlfn.XLOOKUP(C336,ТаблицаТовары[ID товара],ТаблицаТовары[Категория])</f>
        <v>Электроника</v>
      </c>
      <c r="F336" s="29">
        <v>2</v>
      </c>
      <c r="G336" s="19">
        <f>_xlfn.XLOOKUP(C336, ТаблицаТовары[ID товара], ТаблицаТовары[Цена], "Цена не найдена")</f>
        <v>12990</v>
      </c>
      <c r="H336" s="25">
        <f>MAX(
    (MONTH(B336)=11)*0.15,
    (MONTH(B336)=3)*0.1,
    (OR(C336="Т-003",C336="Т-009",C336="Т-018"))*0.12,
    (F336&gt;=3)*0.08,
    (VLOOKUP(C336,ТаблицаТовары[[ID товара]:[Категория]],3,FALSE)="Одежда")*0.1,
    0
)</f>
        <v>0</v>
      </c>
      <c r="I336" s="19">
        <f t="shared" si="10"/>
        <v>25980</v>
      </c>
      <c r="J336" s="19">
        <f>F336*((G336*(1-H336)) - _xlfn.XLOOKUP(C336,ТаблицаТовары[ID товара],ТаблицаТовары[Себестоимость],0))</f>
        <v>8180</v>
      </c>
      <c r="K336" s="27">
        <f t="shared" si="11"/>
        <v>0.31485758275596615</v>
      </c>
    </row>
    <row r="337" spans="1:11" x14ac:dyDescent="0.25">
      <c r="A337" s="22" t="s">
        <v>402</v>
      </c>
      <c r="B337" s="15">
        <v>45517</v>
      </c>
      <c r="C337" s="22" t="s">
        <v>19</v>
      </c>
      <c r="D337" s="31" t="str">
        <f>_xlfn.XLOOKUP(C337, ТаблицаТовары[ID товара], ТаблицаТовары[Название])</f>
        <v>Кроссовки Nike Air Max</v>
      </c>
      <c r="E337" s="17" t="str">
        <f>_xlfn.XLOOKUP(C337,ТаблицаТовары[ID товара],ТаблицаТовары[Категория])</f>
        <v>Обувь</v>
      </c>
      <c r="F337" s="29">
        <v>1</v>
      </c>
      <c r="G337" s="19">
        <f>_xlfn.XLOOKUP(C337, ТаблицаТовары[ID товара], ТаблицаТовары[Цена], "Цена не найдена")</f>
        <v>8990</v>
      </c>
      <c r="H337" s="25">
        <f>MAX(
    (MONTH(B337)=11)*0.15,
    (MONTH(B337)=3)*0.1,
    (OR(C337="Т-003",C337="Т-009",C337="Т-018"))*0.12,
    (F337&gt;=3)*0.08,
    (VLOOKUP(C337,ТаблицаТовары[[ID товара]:[Категория]],3,FALSE)="Одежда")*0.1,
    0
)</f>
        <v>0</v>
      </c>
      <c r="I337" s="19">
        <f t="shared" si="10"/>
        <v>8990</v>
      </c>
      <c r="J337" s="19">
        <f>F337*((G337*(1-H337)) - _xlfn.XLOOKUP(C337,ТаблицаТовары[ID товара],ТаблицаТовары[Себестоимость],0))</f>
        <v>3790</v>
      </c>
      <c r="K337" s="27">
        <f t="shared" si="11"/>
        <v>0.42157953281423804</v>
      </c>
    </row>
    <row r="338" spans="1:11" x14ac:dyDescent="0.25">
      <c r="A338" s="22" t="s">
        <v>403</v>
      </c>
      <c r="B338" s="15">
        <v>45614</v>
      </c>
      <c r="C338" s="22" t="s">
        <v>8</v>
      </c>
      <c r="D338" s="31" t="str">
        <f>_xlfn.XLOOKUP(C338, ТаблицаТовары[ID товара], ТаблицаТовары[Название])</f>
        <v>Наушники Sony WH-1000XM5</v>
      </c>
      <c r="E338" s="17" t="str">
        <f>_xlfn.XLOOKUP(C338,ТаблицаТовары[ID товара],ТаблицаТовары[Категория])</f>
        <v>Электроника</v>
      </c>
      <c r="F338" s="29">
        <v>3</v>
      </c>
      <c r="G338" s="19">
        <f>_xlfn.XLOOKUP(C338, ТаблицаТовары[ID товара], ТаблицаТовары[Цена], "Цена не найдена")</f>
        <v>26990</v>
      </c>
      <c r="H338" s="25">
        <f>MAX(
    (MONTH(B338)=11)*0.15,
    (MONTH(B338)=3)*0.1,
    (OR(C338="Т-003",C338="Т-009",C338="Т-018"))*0.12,
    (F338&gt;=3)*0.08,
    (VLOOKUP(C338,ТаблицаТовары[[ID товара]:[Категория]],3,FALSE)="Одежда")*0.1,
    0
)</f>
        <v>0.15</v>
      </c>
      <c r="I338" s="19">
        <f t="shared" si="10"/>
        <v>68824.5</v>
      </c>
      <c r="J338" s="19">
        <f>F338*((G338*(1-H338)) - _xlfn.XLOOKUP(C338,ТаблицаТовары[ID товара],ТаблицаТовары[Себестоимость],0))</f>
        <v>12124.5</v>
      </c>
      <c r="K338" s="27">
        <f t="shared" si="11"/>
        <v>0.1761654643331953</v>
      </c>
    </row>
    <row r="339" spans="1:11" x14ac:dyDescent="0.25">
      <c r="A339" s="22" t="s">
        <v>404</v>
      </c>
      <c r="B339" s="15">
        <v>45428</v>
      </c>
      <c r="C339" s="22" t="s">
        <v>22</v>
      </c>
      <c r="D339" s="31" t="str">
        <f>_xlfn.XLOOKUP(C339, ТаблицаТовары[ID товара], ТаблицаТовары[Название])</f>
        <v>Ноутбук Lenovo IdeaPad</v>
      </c>
      <c r="E339" s="17" t="str">
        <f>_xlfn.XLOOKUP(C339,ТаблицаТовары[ID товара],ТаблицаТовары[Категория])</f>
        <v>Электроника</v>
      </c>
      <c r="F339" s="29">
        <v>2</v>
      </c>
      <c r="G339" s="19">
        <f>_xlfn.XLOOKUP(C339, ТаблицаТовары[ID товара], ТаблицаТовары[Цена], "Цена не найдена")</f>
        <v>64990</v>
      </c>
      <c r="H339" s="25">
        <f>MAX(
    (MONTH(B339)=11)*0.15,
    (MONTH(B339)=3)*0.1,
    (OR(C339="Т-003",C339="Т-009",C339="Т-018"))*0.12,
    (F339&gt;=3)*0.08,
    (VLOOKUP(C339,ТаблицаТовары[[ID товара]:[Категория]],3,FALSE)="Одежда")*0.1,
    0
)</f>
        <v>0</v>
      </c>
      <c r="I339" s="19">
        <f t="shared" si="10"/>
        <v>129980</v>
      </c>
      <c r="J339" s="19">
        <f>F339*((G339*(1-H339)) - _xlfn.XLOOKUP(C339,ТаблицаТовары[ID товара],ТаблицаТовары[Себестоимость],0))</f>
        <v>34380</v>
      </c>
      <c r="K339" s="27">
        <f t="shared" si="11"/>
        <v>0.26450223111247884</v>
      </c>
    </row>
    <row r="340" spans="1:11" x14ac:dyDescent="0.25">
      <c r="A340" s="22" t="s">
        <v>405</v>
      </c>
      <c r="B340" s="15">
        <v>45557</v>
      </c>
      <c r="C340" s="22" t="s">
        <v>10</v>
      </c>
      <c r="D340" s="31" t="str">
        <f>_xlfn.XLOOKUP(C340, ТаблицаТовары[ID товара], ТаблицаТовары[Название])</f>
        <v>Книга "Мастерство продаж"</v>
      </c>
      <c r="E340" s="17" t="str">
        <f>_xlfn.XLOOKUP(C340,ТаблицаТовары[ID товара],ТаблицаТовары[Категория])</f>
        <v>Книги</v>
      </c>
      <c r="F340" s="29">
        <v>3</v>
      </c>
      <c r="G340" s="19">
        <f>_xlfn.XLOOKUP(C340, ТаблицаТовары[ID товара], ТаблицаТовары[Цена], "Цена не найдена")</f>
        <v>890</v>
      </c>
      <c r="H340" s="25">
        <f>MAX(
    (MONTH(B340)=11)*0.15,
    (MONTH(B340)=3)*0.1,
    (OR(C340="Т-003",C340="Т-009",C340="Т-018"))*0.12,
    (F340&gt;=3)*0.08,
    (VLOOKUP(C340,ТаблицаТовары[[ID товара]:[Категория]],3,FALSE)="Одежда")*0.1,
    0
)</f>
        <v>0.12</v>
      </c>
      <c r="I340" s="19">
        <f t="shared" si="10"/>
        <v>2349.6</v>
      </c>
      <c r="J340" s="19">
        <f>F340*((G340*(1-H340)) - _xlfn.XLOOKUP(C340,ТаблицаТовары[ID товара],ТаблицаТовары[Себестоимость],0))</f>
        <v>999.60000000000014</v>
      </c>
      <c r="K340" s="27">
        <f t="shared" si="11"/>
        <v>0.42543411644535245</v>
      </c>
    </row>
    <row r="341" spans="1:11" x14ac:dyDescent="0.25">
      <c r="A341" s="22" t="s">
        <v>406</v>
      </c>
      <c r="B341" s="15">
        <v>45511</v>
      </c>
      <c r="C341" s="22" t="s">
        <v>37</v>
      </c>
      <c r="D341" s="31" t="str">
        <f>_xlfn.XLOOKUP(C341, ТаблицаТовары[ID товара], ТаблицаТовары[Название])</f>
        <v>Набор посуды 12 предметов</v>
      </c>
      <c r="E341" s="17" t="str">
        <f>_xlfn.XLOOKUP(C341,ТаблицаТовары[ID товара],ТаблицаТовары[Категория])</f>
        <v>Для дома</v>
      </c>
      <c r="F341" s="29">
        <v>2</v>
      </c>
      <c r="G341" s="19">
        <f>_xlfn.XLOOKUP(C341, ТаблицаТовары[ID товара], ТаблицаТовары[Цена], "Цена не найдена")</f>
        <v>14990</v>
      </c>
      <c r="H341" s="25">
        <f>MAX(
    (MONTH(B341)=11)*0.15,
    (MONTH(B341)=3)*0.1,
    (OR(C341="Т-003",C341="Т-009",C341="Т-018"))*0.12,
    (F341&gt;=3)*0.08,
    (VLOOKUP(C341,ТаблицаТовары[[ID товара]:[Категория]],3,FALSE)="Одежда")*0.1,
    0
)</f>
        <v>0</v>
      </c>
      <c r="I341" s="19">
        <f t="shared" si="10"/>
        <v>29980</v>
      </c>
      <c r="J341" s="19">
        <f>F341*((G341*(1-H341)) - _xlfn.XLOOKUP(C341,ТаблицаТовары[ID товара],ТаблицаТовары[Себестоимость],0))</f>
        <v>12780</v>
      </c>
      <c r="K341" s="27">
        <f t="shared" si="11"/>
        <v>0.42628418945963975</v>
      </c>
    </row>
    <row r="342" spans="1:11" x14ac:dyDescent="0.25">
      <c r="A342" s="22" t="s">
        <v>407</v>
      </c>
      <c r="B342" s="15">
        <v>45630</v>
      </c>
      <c r="C342" s="22" t="s">
        <v>30</v>
      </c>
      <c r="D342" s="31" t="str">
        <f>_xlfn.XLOOKUP(C342, ТаблицаТовары[ID товара], ТаблицаТовары[Название])</f>
        <v>Кресло офисное</v>
      </c>
      <c r="E342" s="17" t="str">
        <f>_xlfn.XLOOKUP(C342,ТаблицаТовары[ID товара],ТаблицаТовары[Категория])</f>
        <v>Для дома</v>
      </c>
      <c r="F342" s="29">
        <v>3</v>
      </c>
      <c r="G342" s="19">
        <f>_xlfn.XLOOKUP(C342, ТаблицаТовары[ID товара], ТаблицаТовары[Цена], "Цена не найдена")</f>
        <v>21990</v>
      </c>
      <c r="H342" s="25">
        <f>MAX(
    (MONTH(B342)=11)*0.15,
    (MONTH(B342)=3)*0.1,
    (OR(C342="Т-003",C342="Т-009",C342="Т-018"))*0.12,
    (F342&gt;=3)*0.08,
    (VLOOKUP(C342,ТаблицаТовары[[ID товара]:[Категория]],3,FALSE)="Одежда")*0.1,
    0
)</f>
        <v>0.08</v>
      </c>
      <c r="I342" s="19">
        <f t="shared" si="10"/>
        <v>60692.4</v>
      </c>
      <c r="J342" s="19">
        <f>F342*((G342*(1-H342)) - _xlfn.XLOOKUP(C342,ТаблицаТовары[ID товара],ТаблицаТовары[Себестоимость],0))</f>
        <v>17192.399999999998</v>
      </c>
      <c r="K342" s="27">
        <f t="shared" si="11"/>
        <v>0.28327105205923636</v>
      </c>
    </row>
    <row r="343" spans="1:11" x14ac:dyDescent="0.25">
      <c r="A343" s="22" t="s">
        <v>408</v>
      </c>
      <c r="B343" s="15">
        <v>45585</v>
      </c>
      <c r="C343" s="22" t="s">
        <v>41</v>
      </c>
      <c r="D343" s="31" t="str">
        <f>_xlfn.XLOOKUP(C343, ТаблицаТовары[ID товара], ТаблицаТовары[Название])</f>
        <v>Планшет iPad 10.2"</v>
      </c>
      <c r="E343" s="17" t="str">
        <f>_xlfn.XLOOKUP(C343,ТаблицаТовары[ID товара],ТаблицаТовары[Категория])</f>
        <v>Электроника</v>
      </c>
      <c r="F343" s="29">
        <v>1</v>
      </c>
      <c r="G343" s="19">
        <f>_xlfn.XLOOKUP(C343, ТаблицаТовары[ID товара], ТаблицаТовары[Цена], "Цена не найдена")</f>
        <v>44990</v>
      </c>
      <c r="H343" s="25">
        <f>MAX(
    (MONTH(B343)=11)*0.15,
    (MONTH(B343)=3)*0.1,
    (OR(C343="Т-003",C343="Т-009",C343="Т-018"))*0.12,
    (F343&gt;=3)*0.08,
    (VLOOKUP(C343,ТаблицаТовары[[ID товара]:[Категория]],3,FALSE)="Одежда")*0.1,
    0
)</f>
        <v>0</v>
      </c>
      <c r="I343" s="19">
        <f t="shared" si="10"/>
        <v>44990</v>
      </c>
      <c r="J343" s="19">
        <f>F343*((G343*(1-H343)) - _xlfn.XLOOKUP(C343,ТаблицаТовары[ID товара],ТаблицаТовары[Себестоимость],0))</f>
        <v>12490</v>
      </c>
      <c r="K343" s="27">
        <f t="shared" si="11"/>
        <v>0.27761724827739498</v>
      </c>
    </row>
    <row r="344" spans="1:11" x14ac:dyDescent="0.25">
      <c r="A344" s="22" t="s">
        <v>409</v>
      </c>
      <c r="B344" s="15">
        <v>45618</v>
      </c>
      <c r="C344" s="22" t="s">
        <v>43</v>
      </c>
      <c r="D344" s="31" t="str">
        <f>_xlfn.XLOOKUP(C344, ТаблицаТовары[ID товара], ТаблицаТовары[Название])</f>
        <v>Беговая дорожка</v>
      </c>
      <c r="E344" s="17" t="str">
        <f>_xlfn.XLOOKUP(C344,ТаблицаТовары[ID товара],ТаблицаТовары[Категория])</f>
        <v>Спорт</v>
      </c>
      <c r="F344" s="29">
        <v>2</v>
      </c>
      <c r="G344" s="19">
        <f>_xlfn.XLOOKUP(C344, ТаблицаТовары[ID товара], ТаблицаТовары[Цена], "Цена не найдена")</f>
        <v>79990</v>
      </c>
      <c r="H344" s="25">
        <f>MAX(
    (MONTH(B344)=11)*0.15,
    (MONTH(B344)=3)*0.1,
    (OR(C344="Т-003",C344="Т-009",C344="Т-018"))*0.12,
    (F344&gt;=3)*0.08,
    (VLOOKUP(C344,ТаблицаТовары[[ID товара]:[Категория]],3,FALSE)="Одежда")*0.1,
    0
)</f>
        <v>0.15</v>
      </c>
      <c r="I344" s="19">
        <f t="shared" si="10"/>
        <v>135983</v>
      </c>
      <c r="J344" s="19">
        <f>F344*((G344*(1-H344)) - _xlfn.XLOOKUP(C344,ТаблицаТовары[ID товара],ТаблицаТовары[Себестоимость],0))</f>
        <v>18183</v>
      </c>
      <c r="K344" s="27">
        <f t="shared" si="11"/>
        <v>0.13371524381724187</v>
      </c>
    </row>
    <row r="345" spans="1:11" x14ac:dyDescent="0.25">
      <c r="A345" s="22" t="s">
        <v>410</v>
      </c>
      <c r="B345" s="15">
        <v>45316</v>
      </c>
      <c r="C345" s="22" t="s">
        <v>35</v>
      </c>
      <c r="D345" s="31" t="str">
        <f>_xlfn.XLOOKUP(C345, ТаблицаТовары[ID товара], ТаблицаТовары[Название])</f>
        <v>Умные часы Apple Watch</v>
      </c>
      <c r="E345" s="17" t="str">
        <f>_xlfn.XLOOKUP(C345,ТаблицаТовары[ID товара],ТаблицаТовары[Категория])</f>
        <v>Электроника</v>
      </c>
      <c r="F345" s="29">
        <v>1</v>
      </c>
      <c r="G345" s="19">
        <f>_xlfn.XLOOKUP(C345, ТаблицаТовары[ID товара], ТаблицаТовары[Цена], "Цена не найдена")</f>
        <v>39990</v>
      </c>
      <c r="H345" s="25">
        <f>MAX(
    (MONTH(B345)=11)*0.15,
    (MONTH(B345)=3)*0.1,
    (OR(C345="Т-003",C345="Т-009",C345="Т-018"))*0.12,
    (F345&gt;=3)*0.08,
    (VLOOKUP(C345,ТаблицаТовары[[ID товара]:[Категория]],3,FALSE)="Одежда")*0.1,
    0
)</f>
        <v>0</v>
      </c>
      <c r="I345" s="19">
        <f t="shared" si="10"/>
        <v>39990</v>
      </c>
      <c r="J345" s="19">
        <f>F345*((G345*(1-H345)) - _xlfn.XLOOKUP(C345,ТаблицаТовары[ID товара],ТаблицаТовары[Себестоимость],0))</f>
        <v>11490</v>
      </c>
      <c r="K345" s="27">
        <f t="shared" si="11"/>
        <v>0.28732183045761439</v>
      </c>
    </row>
    <row r="346" spans="1:11" x14ac:dyDescent="0.25">
      <c r="A346" s="22" t="s">
        <v>411</v>
      </c>
      <c r="B346" s="15">
        <v>45494</v>
      </c>
      <c r="C346" s="22" t="s">
        <v>16</v>
      </c>
      <c r="D346" s="31" t="str">
        <f>_xlfn.XLOOKUP(C346, ТаблицаТовары[ID товара], ТаблицаТовары[Название])</f>
        <v>Кофемашина DeLonghi</v>
      </c>
      <c r="E346" s="17" t="str">
        <f>_xlfn.XLOOKUP(C346,ТаблицаТовары[ID товара],ТаблицаТовары[Категория])</f>
        <v>Для дома</v>
      </c>
      <c r="F346" s="29">
        <v>3</v>
      </c>
      <c r="G346" s="19">
        <f>_xlfn.XLOOKUP(C346, ТаблицаТовары[ID товара], ТаблицаТовары[Цена], "Цена не найдена")</f>
        <v>45990</v>
      </c>
      <c r="H346" s="25">
        <f>MAX(
    (MONTH(B346)=11)*0.15,
    (MONTH(B346)=3)*0.1,
    (OR(C346="Т-003",C346="Т-009",C346="Т-018"))*0.12,
    (F346&gt;=3)*0.08,
    (VLOOKUP(C346,ТаблицаТовары[[ID товара]:[Категория]],3,FALSE)="Одежда")*0.1,
    0
)</f>
        <v>0.08</v>
      </c>
      <c r="I346" s="19">
        <f t="shared" si="10"/>
        <v>126932.40000000001</v>
      </c>
      <c r="J346" s="19">
        <f>F346*((G346*(1-H346)) - _xlfn.XLOOKUP(C346,ТаблицаТовары[ID товара],ТаблицаТовары[Себестоимость],0))</f>
        <v>29732.400000000009</v>
      </c>
      <c r="K346" s="27">
        <f t="shared" si="11"/>
        <v>0.23423806687654222</v>
      </c>
    </row>
    <row r="347" spans="1:11" x14ac:dyDescent="0.25">
      <c r="A347" s="22" t="s">
        <v>412</v>
      </c>
      <c r="B347" s="15">
        <v>45313</v>
      </c>
      <c r="C347" s="22" t="s">
        <v>16</v>
      </c>
      <c r="D347" s="31" t="str">
        <f>_xlfn.XLOOKUP(C347, ТаблицаТовары[ID товара], ТаблицаТовары[Название])</f>
        <v>Кофемашина DeLonghi</v>
      </c>
      <c r="E347" s="17" t="str">
        <f>_xlfn.XLOOKUP(C347,ТаблицаТовары[ID товара],ТаблицаТовары[Категория])</f>
        <v>Для дома</v>
      </c>
      <c r="F347" s="29">
        <v>2</v>
      </c>
      <c r="G347" s="19">
        <f>_xlfn.XLOOKUP(C347, ТаблицаТовары[ID товара], ТаблицаТовары[Цена], "Цена не найдена")</f>
        <v>45990</v>
      </c>
      <c r="H347" s="25">
        <f>MAX(
    (MONTH(B347)=11)*0.15,
    (MONTH(B347)=3)*0.1,
    (OR(C347="Т-003",C347="Т-009",C347="Т-018"))*0.12,
    (F347&gt;=3)*0.08,
    (VLOOKUP(C347,ТаблицаТовары[[ID товара]:[Категория]],3,FALSE)="Одежда")*0.1,
    0
)</f>
        <v>0</v>
      </c>
      <c r="I347" s="19">
        <f t="shared" si="10"/>
        <v>91980</v>
      </c>
      <c r="J347" s="19">
        <f>F347*((G347*(1-H347)) - _xlfn.XLOOKUP(C347,ТаблицаТовары[ID товара],ТаблицаТовары[Себестоимость],0))</f>
        <v>27180</v>
      </c>
      <c r="K347" s="27">
        <f t="shared" si="11"/>
        <v>0.29549902152641877</v>
      </c>
    </row>
    <row r="348" spans="1:11" x14ac:dyDescent="0.25">
      <c r="A348" s="22" t="s">
        <v>413</v>
      </c>
      <c r="B348" s="15">
        <v>45494</v>
      </c>
      <c r="C348" s="22" t="s">
        <v>50</v>
      </c>
      <c r="D348" s="31" t="str">
        <f>_xlfn.XLOOKUP(C348, ТаблицаТовары[ID товара], ТаблицаТовары[Название])</f>
        <v>Йогуртница</v>
      </c>
      <c r="E348" s="17" t="str">
        <f>_xlfn.XLOOKUP(C348,ТаблицаТовары[ID товара],ТаблицаТовары[Категория])</f>
        <v>Для дома</v>
      </c>
      <c r="F348" s="29">
        <v>1</v>
      </c>
      <c r="G348" s="19">
        <f>_xlfn.XLOOKUP(C348, ТаблицаТовары[ID товара], ТаблицаТовары[Цена], "Цена не найдена")</f>
        <v>4990</v>
      </c>
      <c r="H348" s="25">
        <f>MAX(
    (MONTH(B348)=11)*0.15,
    (MONTH(B348)=3)*0.1,
    (OR(C348="Т-003",C348="Т-009",C348="Т-018"))*0.12,
    (F348&gt;=3)*0.08,
    (VLOOKUP(C348,ТаблицаТовары[[ID товара]:[Категория]],3,FALSE)="Одежда")*0.1,
    0
)</f>
        <v>0</v>
      </c>
      <c r="I348" s="19">
        <f t="shared" si="10"/>
        <v>4990</v>
      </c>
      <c r="J348" s="19">
        <f>F348*((G348*(1-H348)) - _xlfn.XLOOKUP(C348,ТаблицаТовары[ID товара],ТаблицаТовары[Себестоимость],0))</f>
        <v>1790</v>
      </c>
      <c r="K348" s="27">
        <f t="shared" si="11"/>
        <v>0.3587174348697395</v>
      </c>
    </row>
    <row r="349" spans="1:11" x14ac:dyDescent="0.25">
      <c r="A349" s="22" t="s">
        <v>414</v>
      </c>
      <c r="B349" s="15">
        <v>45318</v>
      </c>
      <c r="C349" s="22" t="s">
        <v>24</v>
      </c>
      <c r="D349" s="31" t="str">
        <f>_xlfn.XLOOKUP(C349, ТаблицаТовары[ID товара], ТаблицаТовары[Название])</f>
        <v>Чайник стеклянный</v>
      </c>
      <c r="E349" s="17" t="str">
        <f>_xlfn.XLOOKUP(C349,ТаблицаТовары[ID товара],ТаблицаТовары[Категория])</f>
        <v>Для дома</v>
      </c>
      <c r="F349" s="29">
        <v>2</v>
      </c>
      <c r="G349" s="19">
        <f>_xlfn.XLOOKUP(C349, ТаблицаТовары[ID товара], ТаблицаТовары[Цена], "Цена не найдена")</f>
        <v>2490</v>
      </c>
      <c r="H349" s="25">
        <f>MAX(
    (MONTH(B349)=11)*0.15,
    (MONTH(B349)=3)*0.1,
    (OR(C349="Т-003",C349="Т-009",C349="Т-018"))*0.12,
    (F349&gt;=3)*0.08,
    (VLOOKUP(C349,ТаблицаТовары[[ID товара]:[Категория]],3,FALSE)="Одежда")*0.1,
    0
)</f>
        <v>0</v>
      </c>
      <c r="I349" s="19">
        <f t="shared" si="10"/>
        <v>4980</v>
      </c>
      <c r="J349" s="19">
        <f>F349*((G349*(1-H349)) - _xlfn.XLOOKUP(C349,ТаблицаТовары[ID товара],ТаблицаТовары[Себестоимость],0))</f>
        <v>2580</v>
      </c>
      <c r="K349" s="27">
        <f t="shared" si="11"/>
        <v>0.51807228915662651</v>
      </c>
    </row>
    <row r="350" spans="1:11" x14ac:dyDescent="0.25">
      <c r="A350" s="22" t="s">
        <v>415</v>
      </c>
      <c r="B350" s="15">
        <v>45580</v>
      </c>
      <c r="C350" s="22" t="s">
        <v>50</v>
      </c>
      <c r="D350" s="31" t="str">
        <f>_xlfn.XLOOKUP(C350, ТаблицаТовары[ID товара], ТаблицаТовары[Название])</f>
        <v>Йогуртница</v>
      </c>
      <c r="E350" s="17" t="str">
        <f>_xlfn.XLOOKUP(C350,ТаблицаТовары[ID товара],ТаблицаТовары[Категория])</f>
        <v>Для дома</v>
      </c>
      <c r="F350" s="29">
        <v>1</v>
      </c>
      <c r="G350" s="19">
        <f>_xlfn.XLOOKUP(C350, ТаблицаТовары[ID товара], ТаблицаТовары[Цена], "Цена не найдена")</f>
        <v>4990</v>
      </c>
      <c r="H350" s="25">
        <f>MAX(
    (MONTH(B350)=11)*0.15,
    (MONTH(B350)=3)*0.1,
    (OR(C350="Т-003",C350="Т-009",C350="Т-018"))*0.12,
    (F350&gt;=3)*0.08,
    (VLOOKUP(C350,ТаблицаТовары[[ID товара]:[Категория]],3,FALSE)="Одежда")*0.1,
    0
)</f>
        <v>0</v>
      </c>
      <c r="I350" s="19">
        <f t="shared" si="10"/>
        <v>4990</v>
      </c>
      <c r="J350" s="19">
        <f>F350*((G350*(1-H350)) - _xlfn.XLOOKUP(C350,ТаблицаТовары[ID товара],ТаблицаТовары[Себестоимость],0))</f>
        <v>1790</v>
      </c>
      <c r="K350" s="27">
        <f t="shared" si="11"/>
        <v>0.3587174348697395</v>
      </c>
    </row>
    <row r="351" spans="1:11" x14ac:dyDescent="0.25">
      <c r="A351" s="22" t="s">
        <v>416</v>
      </c>
      <c r="B351" s="15">
        <v>45656</v>
      </c>
      <c r="C351" s="22" t="s">
        <v>19</v>
      </c>
      <c r="D351" s="31" t="str">
        <f>_xlfn.XLOOKUP(C351, ТаблицаТовары[ID товара], ТаблицаТовары[Название])</f>
        <v>Кроссовки Nike Air Max</v>
      </c>
      <c r="E351" s="17" t="str">
        <f>_xlfn.XLOOKUP(C351,ТаблицаТовары[ID товара],ТаблицаТовары[Категория])</f>
        <v>Обувь</v>
      </c>
      <c r="F351" s="29">
        <v>1</v>
      </c>
      <c r="G351" s="19">
        <f>_xlfn.XLOOKUP(C351, ТаблицаТовары[ID товара], ТаблицаТовары[Цена], "Цена не найдена")</f>
        <v>8990</v>
      </c>
      <c r="H351" s="25">
        <f>MAX(
    (MONTH(B351)=11)*0.15,
    (MONTH(B351)=3)*0.1,
    (OR(C351="Т-003",C351="Т-009",C351="Т-018"))*0.12,
    (F351&gt;=3)*0.08,
    (VLOOKUP(C351,ТаблицаТовары[[ID товара]:[Категория]],3,FALSE)="Одежда")*0.1,
    0
)</f>
        <v>0</v>
      </c>
      <c r="I351" s="19">
        <f t="shared" si="10"/>
        <v>8990</v>
      </c>
      <c r="J351" s="19">
        <f>F351*((G351*(1-H351)) - _xlfn.XLOOKUP(C351,ТаблицаТовары[ID товара],ТаблицаТовары[Себестоимость],0))</f>
        <v>3790</v>
      </c>
      <c r="K351" s="27">
        <f t="shared" si="11"/>
        <v>0.42157953281423804</v>
      </c>
    </row>
    <row r="352" spans="1:11" x14ac:dyDescent="0.25">
      <c r="A352" s="22" t="s">
        <v>417</v>
      </c>
      <c r="B352" s="15">
        <v>45577</v>
      </c>
      <c r="C352" s="22" t="s">
        <v>24</v>
      </c>
      <c r="D352" s="31" t="str">
        <f>_xlfn.XLOOKUP(C352, ТаблицаТовары[ID товара], ТаблицаТовары[Название])</f>
        <v>Чайник стеклянный</v>
      </c>
      <c r="E352" s="17" t="str">
        <f>_xlfn.XLOOKUP(C352,ТаблицаТовары[ID товара],ТаблицаТовары[Категория])</f>
        <v>Для дома</v>
      </c>
      <c r="F352" s="29">
        <v>2</v>
      </c>
      <c r="G352" s="19">
        <f>_xlfn.XLOOKUP(C352, ТаблицаТовары[ID товара], ТаблицаТовары[Цена], "Цена не найдена")</f>
        <v>2490</v>
      </c>
      <c r="H352" s="25">
        <f>MAX(
    (MONTH(B352)=11)*0.15,
    (MONTH(B352)=3)*0.1,
    (OR(C352="Т-003",C352="Т-009",C352="Т-018"))*0.12,
    (F352&gt;=3)*0.08,
    (VLOOKUP(C352,ТаблицаТовары[[ID товара]:[Категория]],3,FALSE)="Одежда")*0.1,
    0
)</f>
        <v>0</v>
      </c>
      <c r="I352" s="19">
        <f t="shared" si="10"/>
        <v>4980</v>
      </c>
      <c r="J352" s="19">
        <f>F352*((G352*(1-H352)) - _xlfn.XLOOKUP(C352,ТаблицаТовары[ID товара],ТаблицаТовары[Себестоимость],0))</f>
        <v>2580</v>
      </c>
      <c r="K352" s="27">
        <f t="shared" si="11"/>
        <v>0.51807228915662651</v>
      </c>
    </row>
    <row r="353" spans="1:11" x14ac:dyDescent="0.25">
      <c r="A353" s="22" t="s">
        <v>418</v>
      </c>
      <c r="B353" s="15">
        <v>45442</v>
      </c>
      <c r="C353" s="22" t="s">
        <v>37</v>
      </c>
      <c r="D353" s="31" t="str">
        <f>_xlfn.XLOOKUP(C353, ТаблицаТовары[ID товара], ТаблицаТовары[Название])</f>
        <v>Набор посуды 12 предметов</v>
      </c>
      <c r="E353" s="17" t="str">
        <f>_xlfn.XLOOKUP(C353,ТаблицаТовары[ID товара],ТаблицаТовары[Категория])</f>
        <v>Для дома</v>
      </c>
      <c r="F353" s="29">
        <v>3</v>
      </c>
      <c r="G353" s="19">
        <f>_xlfn.XLOOKUP(C353, ТаблицаТовары[ID товара], ТаблицаТовары[Цена], "Цена не найдена")</f>
        <v>14990</v>
      </c>
      <c r="H353" s="25">
        <f>MAX(
    (MONTH(B353)=11)*0.15,
    (MONTH(B353)=3)*0.1,
    (OR(C353="Т-003",C353="Т-009",C353="Т-018"))*0.12,
    (F353&gt;=3)*0.08,
    (VLOOKUP(C353,ТаблицаТовары[[ID товара]:[Категория]],3,FALSE)="Одежда")*0.1,
    0
)</f>
        <v>0.08</v>
      </c>
      <c r="I353" s="19">
        <f t="shared" si="10"/>
        <v>41372.400000000001</v>
      </c>
      <c r="J353" s="19">
        <f>F353*((G353*(1-H353)) - _xlfn.XLOOKUP(C353,ТаблицаТовары[ID товара],ТаблицаТовары[Себестоимость],0))</f>
        <v>15572.400000000003</v>
      </c>
      <c r="K353" s="27">
        <f t="shared" si="11"/>
        <v>0.37639585810830417</v>
      </c>
    </row>
    <row r="354" spans="1:11" x14ac:dyDescent="0.25">
      <c r="A354" s="22" t="s">
        <v>419</v>
      </c>
      <c r="B354" s="15">
        <v>45575</v>
      </c>
      <c r="C354" s="22" t="s">
        <v>28</v>
      </c>
      <c r="D354" s="31" t="str">
        <f>_xlfn.XLOOKUP(C354, ТаблицаТовары[ID товара], ТаблицаТовары[Название])</f>
        <v>Монитор 24" Samsung</v>
      </c>
      <c r="E354" s="17" t="str">
        <f>_xlfn.XLOOKUP(C354,ТаблицаТовары[ID товара],ТаблицаТовары[Категория])</f>
        <v>Электроника</v>
      </c>
      <c r="F354" s="29">
        <v>3</v>
      </c>
      <c r="G354" s="19">
        <f>_xlfn.XLOOKUP(C354, ТаблицаТовары[ID товара], ТаблицаТовары[Цена], "Цена не найдена")</f>
        <v>18990</v>
      </c>
      <c r="H354" s="25">
        <f>MAX(
    (MONTH(B354)=11)*0.15,
    (MONTH(B354)=3)*0.1,
    (OR(C354="Т-003",C354="Т-009",C354="Т-018"))*0.12,
    (F354&gt;=3)*0.08,
    (VLOOKUP(C354,ТаблицаТовары[[ID товара]:[Категория]],3,FALSE)="Одежда")*0.1,
    0
)</f>
        <v>0.08</v>
      </c>
      <c r="I354" s="19">
        <f t="shared" si="10"/>
        <v>52412.4</v>
      </c>
      <c r="J354" s="19">
        <f>F354*((G354*(1-H354)) - _xlfn.XLOOKUP(C354,ТаблицаТовары[ID товара],ТаблицаТовары[Себестоимость],0))</f>
        <v>12812.399999999998</v>
      </c>
      <c r="K354" s="27">
        <f t="shared" si="11"/>
        <v>0.24445360258259491</v>
      </c>
    </row>
    <row r="355" spans="1:11" x14ac:dyDescent="0.25">
      <c r="A355" s="22" t="s">
        <v>420</v>
      </c>
      <c r="B355" s="15">
        <v>45588</v>
      </c>
      <c r="C355" s="22" t="s">
        <v>43</v>
      </c>
      <c r="D355" s="31" t="str">
        <f>_xlfn.XLOOKUP(C355, ТаблицаТовары[ID товара], ТаблицаТовары[Название])</f>
        <v>Беговая дорожка</v>
      </c>
      <c r="E355" s="17" t="str">
        <f>_xlfn.XLOOKUP(C355,ТаблицаТовары[ID товара],ТаблицаТовары[Категория])</f>
        <v>Спорт</v>
      </c>
      <c r="F355" s="29">
        <v>3</v>
      </c>
      <c r="G355" s="19">
        <f>_xlfn.XLOOKUP(C355, ТаблицаТовары[ID товара], ТаблицаТовары[Цена], "Цена не найдена")</f>
        <v>79990</v>
      </c>
      <c r="H355" s="25">
        <f>MAX(
    (MONTH(B355)=11)*0.15,
    (MONTH(B355)=3)*0.1,
    (OR(C355="Т-003",C355="Т-009",C355="Т-018"))*0.12,
    (F355&gt;=3)*0.08,
    (VLOOKUP(C355,ТаблицаТовары[[ID товара]:[Категория]],3,FALSE)="Одежда")*0.1,
    0
)</f>
        <v>0.08</v>
      </c>
      <c r="I355" s="19">
        <f t="shared" si="10"/>
        <v>220772.40000000002</v>
      </c>
      <c r="J355" s="19">
        <f>F355*((G355*(1-H355)) - _xlfn.XLOOKUP(C355,ТаблицаТовары[ID товара],ТаблицаТовары[Себестоимость],0))</f>
        <v>44072.400000000009</v>
      </c>
      <c r="K355" s="27">
        <f t="shared" si="11"/>
        <v>0.19962821439636477</v>
      </c>
    </row>
    <row r="356" spans="1:11" x14ac:dyDescent="0.25">
      <c r="A356" s="22" t="s">
        <v>421</v>
      </c>
      <c r="B356" s="15">
        <v>45299</v>
      </c>
      <c r="C356" s="22" t="s">
        <v>48</v>
      </c>
      <c r="D356" s="31" t="str">
        <f>_xlfn.XLOOKUP(C356, ТаблицаТовары[ID товара], ТаблицаТовары[Название])</f>
        <v>Микрофон для стримов</v>
      </c>
      <c r="E356" s="17" t="str">
        <f>_xlfn.XLOOKUP(C356,ТаблицаТовары[ID товара],ТаблицаТовары[Категория])</f>
        <v>Электроника</v>
      </c>
      <c r="F356" s="29">
        <v>2</v>
      </c>
      <c r="G356" s="19">
        <f>_xlfn.XLOOKUP(C356, ТаблицаТовары[ID товара], ТаблицаТовары[Цена], "Цена не найдена")</f>
        <v>12990</v>
      </c>
      <c r="H356" s="25">
        <f>MAX(
    (MONTH(B356)=11)*0.15,
    (MONTH(B356)=3)*0.1,
    (OR(C356="Т-003",C356="Т-009",C356="Т-018"))*0.12,
    (F356&gt;=3)*0.08,
    (VLOOKUP(C356,ТаблицаТовары[[ID товара]:[Категория]],3,FALSE)="Одежда")*0.1,
    0
)</f>
        <v>0</v>
      </c>
      <c r="I356" s="19">
        <f t="shared" si="10"/>
        <v>25980</v>
      </c>
      <c r="J356" s="19">
        <f>F356*((G356*(1-H356)) - _xlfn.XLOOKUP(C356,ТаблицаТовары[ID товара],ТаблицаТовары[Себестоимость],0))</f>
        <v>8180</v>
      </c>
      <c r="K356" s="27">
        <f t="shared" si="11"/>
        <v>0.31485758275596615</v>
      </c>
    </row>
    <row r="357" spans="1:11" x14ac:dyDescent="0.25">
      <c r="A357" s="22" t="s">
        <v>422</v>
      </c>
      <c r="B357" s="15">
        <v>45376</v>
      </c>
      <c r="C357" s="22" t="s">
        <v>35</v>
      </c>
      <c r="D357" s="31" t="str">
        <f>_xlfn.XLOOKUP(C357, ТаблицаТовары[ID товара], ТаблицаТовары[Название])</f>
        <v>Умные часы Apple Watch</v>
      </c>
      <c r="E357" s="17" t="str">
        <f>_xlfn.XLOOKUP(C357,ТаблицаТовары[ID товара],ТаблицаТовары[Категория])</f>
        <v>Электроника</v>
      </c>
      <c r="F357" s="29">
        <v>1</v>
      </c>
      <c r="G357" s="19">
        <f>_xlfn.XLOOKUP(C357, ТаблицаТовары[ID товара], ТаблицаТовары[Цена], "Цена не найдена")</f>
        <v>39990</v>
      </c>
      <c r="H357" s="25">
        <f>MAX(
    (MONTH(B357)=11)*0.15,
    (MONTH(B357)=3)*0.1,
    (OR(C357="Т-003",C357="Т-009",C357="Т-018"))*0.12,
    (F357&gt;=3)*0.08,
    (VLOOKUP(C357,ТаблицаТовары[[ID товара]:[Категория]],3,FALSE)="Одежда")*0.1,
    0
)</f>
        <v>0.1</v>
      </c>
      <c r="I357" s="19">
        <f t="shared" si="10"/>
        <v>35991</v>
      </c>
      <c r="J357" s="19">
        <f>F357*((G357*(1-H357)) - _xlfn.XLOOKUP(C357,ТаблицаТовары[ID товара],ТаблицаТовары[Себестоимость],0))</f>
        <v>7491</v>
      </c>
      <c r="K357" s="27">
        <f t="shared" si="11"/>
        <v>0.20813536717512712</v>
      </c>
    </row>
    <row r="358" spans="1:11" x14ac:dyDescent="0.25">
      <c r="A358" s="22" t="s">
        <v>423</v>
      </c>
      <c r="B358" s="15">
        <v>45462</v>
      </c>
      <c r="C358" s="22" t="s">
        <v>22</v>
      </c>
      <c r="D358" s="31" t="str">
        <f>_xlfn.XLOOKUP(C358, ТаблицаТовары[ID товара], ТаблицаТовары[Название])</f>
        <v>Ноутбук Lenovo IdeaPad</v>
      </c>
      <c r="E358" s="17" t="str">
        <f>_xlfn.XLOOKUP(C358,ТаблицаТовары[ID товара],ТаблицаТовары[Категория])</f>
        <v>Электроника</v>
      </c>
      <c r="F358" s="29">
        <v>1</v>
      </c>
      <c r="G358" s="19">
        <f>_xlfn.XLOOKUP(C358, ТаблицаТовары[ID товара], ТаблицаТовары[Цена], "Цена не найдена")</f>
        <v>64990</v>
      </c>
      <c r="H358" s="25">
        <f>MAX(
    (MONTH(B358)=11)*0.15,
    (MONTH(B358)=3)*0.1,
    (OR(C358="Т-003",C358="Т-009",C358="Т-018"))*0.12,
    (F358&gt;=3)*0.08,
    (VLOOKUP(C358,ТаблицаТовары[[ID товара]:[Категория]],3,FALSE)="Одежда")*0.1,
    0
)</f>
        <v>0</v>
      </c>
      <c r="I358" s="19">
        <f t="shared" si="10"/>
        <v>64990</v>
      </c>
      <c r="J358" s="19">
        <f>F358*((G358*(1-H358)) - _xlfn.XLOOKUP(C358,ТаблицаТовары[ID товара],ТаблицаТовары[Себестоимость],0))</f>
        <v>17190</v>
      </c>
      <c r="K358" s="27">
        <f t="shared" si="11"/>
        <v>0.26450223111247884</v>
      </c>
    </row>
    <row r="359" spans="1:11" x14ac:dyDescent="0.25">
      <c r="A359" s="22" t="s">
        <v>424</v>
      </c>
      <c r="B359" s="15">
        <v>45622</v>
      </c>
      <c r="C359" s="22" t="s">
        <v>48</v>
      </c>
      <c r="D359" s="31" t="str">
        <f>_xlfn.XLOOKUP(C359, ТаблицаТовары[ID товара], ТаблицаТовары[Название])</f>
        <v>Микрофон для стримов</v>
      </c>
      <c r="E359" s="17" t="str">
        <f>_xlfn.XLOOKUP(C359,ТаблицаТовары[ID товара],ТаблицаТовары[Категория])</f>
        <v>Электроника</v>
      </c>
      <c r="F359" s="29">
        <v>1</v>
      </c>
      <c r="G359" s="19">
        <f>_xlfn.XLOOKUP(C359, ТаблицаТовары[ID товара], ТаблицаТовары[Цена], "Цена не найдена")</f>
        <v>12990</v>
      </c>
      <c r="H359" s="25">
        <f>MAX(
    (MONTH(B359)=11)*0.15,
    (MONTH(B359)=3)*0.1,
    (OR(C359="Т-003",C359="Т-009",C359="Т-018"))*0.12,
    (F359&gt;=3)*0.08,
    (VLOOKUP(C359,ТаблицаТовары[[ID товара]:[Категория]],3,FALSE)="Одежда")*0.1,
    0
)</f>
        <v>0.15</v>
      </c>
      <c r="I359" s="19">
        <f t="shared" si="10"/>
        <v>11041.5</v>
      </c>
      <c r="J359" s="19">
        <f>F359*((G359*(1-H359)) - _xlfn.XLOOKUP(C359,ТаблицаТовары[ID товара],ТаблицаТовары[Себестоимость],0))</f>
        <v>2141.5</v>
      </c>
      <c r="K359" s="27">
        <f t="shared" si="11"/>
        <v>0.19395009735996016</v>
      </c>
    </row>
    <row r="360" spans="1:11" x14ac:dyDescent="0.25">
      <c r="A360" s="22" t="s">
        <v>425</v>
      </c>
      <c r="B360" s="15">
        <v>45390</v>
      </c>
      <c r="C360" s="22" t="s">
        <v>28</v>
      </c>
      <c r="D360" s="31" t="str">
        <f>_xlfn.XLOOKUP(C360, ТаблицаТовары[ID товара], ТаблицаТовары[Название])</f>
        <v>Монитор 24" Samsung</v>
      </c>
      <c r="E360" s="17" t="str">
        <f>_xlfn.XLOOKUP(C360,ТаблицаТовары[ID товара],ТаблицаТовары[Категория])</f>
        <v>Электроника</v>
      </c>
      <c r="F360" s="29">
        <v>2</v>
      </c>
      <c r="G360" s="19">
        <f>_xlfn.XLOOKUP(C360, ТаблицаТовары[ID товара], ТаблицаТовары[Цена], "Цена не найдена")</f>
        <v>18990</v>
      </c>
      <c r="H360" s="25">
        <f>MAX(
    (MONTH(B360)=11)*0.15,
    (MONTH(B360)=3)*0.1,
    (OR(C360="Т-003",C360="Т-009",C360="Т-018"))*0.12,
    (F360&gt;=3)*0.08,
    (VLOOKUP(C360,ТаблицаТовары[[ID товара]:[Категория]],3,FALSE)="Одежда")*0.1,
    0
)</f>
        <v>0</v>
      </c>
      <c r="I360" s="19">
        <f t="shared" si="10"/>
        <v>37980</v>
      </c>
      <c r="J360" s="19">
        <f>F360*((G360*(1-H360)) - _xlfn.XLOOKUP(C360,ТаблицаТовары[ID товара],ТаблицаТовары[Себестоимость],0))</f>
        <v>11580</v>
      </c>
      <c r="K360" s="27">
        <f t="shared" si="11"/>
        <v>0.30489731437598738</v>
      </c>
    </row>
    <row r="361" spans="1:11" x14ac:dyDescent="0.25">
      <c r="A361" s="22" t="s">
        <v>426</v>
      </c>
      <c r="B361" s="15">
        <v>45622</v>
      </c>
      <c r="C361" s="22" t="s">
        <v>26</v>
      </c>
      <c r="D361" s="31" t="str">
        <f>_xlfn.XLOOKUP(C361, ТаблицаТовары[ID товара], ТаблицаТовары[Название])</f>
        <v>Футболка хлопковая</v>
      </c>
      <c r="E361" s="17" t="str">
        <f>_xlfn.XLOOKUP(C361,ТаблицаТовары[ID товара],ТаблицаТовары[Категория])</f>
        <v>Одежда</v>
      </c>
      <c r="F361" s="29">
        <v>1</v>
      </c>
      <c r="G361" s="19">
        <f>_xlfn.XLOOKUP(C361, ТаблицаТовары[ID товара], ТаблицаТовары[Цена], "Цена не найдена")</f>
        <v>990</v>
      </c>
      <c r="H361" s="25">
        <f>MAX(
    (MONTH(B361)=11)*0.15,
    (MONTH(B361)=3)*0.1,
    (OR(C361="Т-003",C361="Т-009",C361="Т-018"))*0.12,
    (F361&gt;=3)*0.08,
    (VLOOKUP(C361,ТаблицаТовары[[ID товара]:[Категория]],3,FALSE)="Одежда")*0.1,
    0
)</f>
        <v>0.15</v>
      </c>
      <c r="I361" s="19">
        <f t="shared" si="10"/>
        <v>841.5</v>
      </c>
      <c r="J361" s="19">
        <f>F361*((G361*(1-H361)) - _xlfn.XLOOKUP(C361,ТаблицаТовары[ID товара],ТаблицаТовары[Себестоимость],0))</f>
        <v>491.5</v>
      </c>
      <c r="K361" s="27">
        <f t="shared" si="11"/>
        <v>0.58407605466428991</v>
      </c>
    </row>
    <row r="362" spans="1:11" x14ac:dyDescent="0.25">
      <c r="A362" s="22" t="s">
        <v>427</v>
      </c>
      <c r="B362" s="15">
        <v>45561</v>
      </c>
      <c r="C362" s="22" t="s">
        <v>48</v>
      </c>
      <c r="D362" s="31" t="str">
        <f>_xlfn.XLOOKUP(C362, ТаблицаТовары[ID товара], ТаблицаТовары[Название])</f>
        <v>Микрофон для стримов</v>
      </c>
      <c r="E362" s="17" t="str">
        <f>_xlfn.XLOOKUP(C362,ТаблицаТовары[ID товара],ТаблицаТовары[Категория])</f>
        <v>Электроника</v>
      </c>
      <c r="F362" s="29">
        <v>3</v>
      </c>
      <c r="G362" s="19">
        <f>_xlfn.XLOOKUP(C362, ТаблицаТовары[ID товара], ТаблицаТовары[Цена], "Цена не найдена")</f>
        <v>12990</v>
      </c>
      <c r="H362" s="25">
        <f>MAX(
    (MONTH(B362)=11)*0.15,
    (MONTH(B362)=3)*0.1,
    (OR(C362="Т-003",C362="Т-009",C362="Т-018"))*0.12,
    (F362&gt;=3)*0.08,
    (VLOOKUP(C362,ТаблицаТовары[[ID товара]:[Категория]],3,FALSE)="Одежда")*0.1,
    0
)</f>
        <v>0.08</v>
      </c>
      <c r="I362" s="19">
        <f t="shared" si="10"/>
        <v>35852.400000000001</v>
      </c>
      <c r="J362" s="19">
        <f>F362*((G362*(1-H362)) - _xlfn.XLOOKUP(C362,ТаблицаТовары[ID товара],ТаблицаТовары[Себестоимость],0))</f>
        <v>9152.4000000000033</v>
      </c>
      <c r="K362" s="27">
        <f t="shared" si="11"/>
        <v>0.25527998125648499</v>
      </c>
    </row>
    <row r="363" spans="1:11" x14ac:dyDescent="0.25">
      <c r="A363" s="22" t="s">
        <v>428</v>
      </c>
      <c r="B363" s="15">
        <v>45504</v>
      </c>
      <c r="C363" s="22" t="s">
        <v>8</v>
      </c>
      <c r="D363" s="31" t="str">
        <f>_xlfn.XLOOKUP(C363, ТаблицаТовары[ID товара], ТаблицаТовары[Название])</f>
        <v>Наушники Sony WH-1000XM5</v>
      </c>
      <c r="E363" s="17" t="str">
        <f>_xlfn.XLOOKUP(C363,ТаблицаТовары[ID товара],ТаблицаТовары[Категория])</f>
        <v>Электроника</v>
      </c>
      <c r="F363" s="29">
        <v>3</v>
      </c>
      <c r="G363" s="19">
        <f>_xlfn.XLOOKUP(C363, ТаблицаТовары[ID товара], ТаблицаТовары[Цена], "Цена не найдена")</f>
        <v>26990</v>
      </c>
      <c r="H363" s="25">
        <f>MAX(
    (MONTH(B363)=11)*0.15,
    (MONTH(B363)=3)*0.1,
    (OR(C363="Т-003",C363="Т-009",C363="Т-018"))*0.12,
    (F363&gt;=3)*0.08,
    (VLOOKUP(C363,ТаблицаТовары[[ID товара]:[Категория]],3,FALSE)="Одежда")*0.1,
    0
)</f>
        <v>0.08</v>
      </c>
      <c r="I363" s="19">
        <f t="shared" si="10"/>
        <v>74492.400000000009</v>
      </c>
      <c r="J363" s="19">
        <f>F363*((G363*(1-H363)) - _xlfn.XLOOKUP(C363,ТаблицаТовары[ID товара],ТаблицаТовары[Себестоимость],0))</f>
        <v>17792.399999999998</v>
      </c>
      <c r="K363" s="27">
        <f t="shared" si="11"/>
        <v>0.23884852682958255</v>
      </c>
    </row>
    <row r="364" spans="1:11" x14ac:dyDescent="0.25">
      <c r="A364" s="22" t="s">
        <v>429</v>
      </c>
      <c r="B364" s="15">
        <v>45451</v>
      </c>
      <c r="C364" s="22" t="s">
        <v>5</v>
      </c>
      <c r="D364" s="31" t="str">
        <f>_xlfn.XLOOKUP(C364, ТаблицаТовары[ID товара], ТаблицаТовары[Название])</f>
        <v>Смартфон Galaxy A54</v>
      </c>
      <c r="E364" s="17" t="str">
        <f>_xlfn.XLOOKUP(C364,ТаблицаТовары[ID товара],ТаблицаТовары[Категория])</f>
        <v>Электроника</v>
      </c>
      <c r="F364" s="29">
        <v>3</v>
      </c>
      <c r="G364" s="19">
        <f>_xlfn.XLOOKUP(C364, ТаблицаТовары[ID товара], ТаблицаТовары[Цена], "Цена не найдена")</f>
        <v>29990</v>
      </c>
      <c r="H364" s="25">
        <f>MAX(
    (MONTH(B364)=11)*0.15,
    (MONTH(B364)=3)*0.1,
    (OR(C364="Т-003",C364="Т-009",C364="Т-018"))*0.12,
    (F364&gt;=3)*0.08,
    (VLOOKUP(C364,ТаблицаТовары[[ID товара]:[Категория]],3,FALSE)="Одежда")*0.1,
    0
)</f>
        <v>0.08</v>
      </c>
      <c r="I364" s="19">
        <f t="shared" si="10"/>
        <v>82772.400000000009</v>
      </c>
      <c r="J364" s="19">
        <f>F364*((G364*(1-H364)) - _xlfn.XLOOKUP(C364,ТаблицаТовары[ID товара],ТаблицаТовары[Себестоимость],0))</f>
        <v>18272.400000000009</v>
      </c>
      <c r="K364" s="27">
        <f t="shared" si="11"/>
        <v>0.22075474433506828</v>
      </c>
    </row>
    <row r="365" spans="1:11" x14ac:dyDescent="0.25">
      <c r="A365" s="22" t="s">
        <v>430</v>
      </c>
      <c r="B365" s="15">
        <v>45458</v>
      </c>
      <c r="C365" s="22" t="s">
        <v>50</v>
      </c>
      <c r="D365" s="31" t="str">
        <f>_xlfn.XLOOKUP(C365, ТаблицаТовары[ID товара], ТаблицаТовары[Название])</f>
        <v>Йогуртница</v>
      </c>
      <c r="E365" s="17" t="str">
        <f>_xlfn.XLOOKUP(C365,ТаблицаТовары[ID товара],ТаблицаТовары[Категория])</f>
        <v>Для дома</v>
      </c>
      <c r="F365" s="29">
        <v>1</v>
      </c>
      <c r="G365" s="19">
        <f>_xlfn.XLOOKUP(C365, ТаблицаТовары[ID товара], ТаблицаТовары[Цена], "Цена не найдена")</f>
        <v>4990</v>
      </c>
      <c r="H365" s="25">
        <f>MAX(
    (MONTH(B365)=11)*0.15,
    (MONTH(B365)=3)*0.1,
    (OR(C365="Т-003",C365="Т-009",C365="Т-018"))*0.12,
    (F365&gt;=3)*0.08,
    (VLOOKUP(C365,ТаблицаТовары[[ID товара]:[Категория]],3,FALSE)="Одежда")*0.1,
    0
)</f>
        <v>0</v>
      </c>
      <c r="I365" s="19">
        <f t="shared" si="10"/>
        <v>4990</v>
      </c>
      <c r="J365" s="19">
        <f>F365*((G365*(1-H365)) - _xlfn.XLOOKUP(C365,ТаблицаТовары[ID товара],ТаблицаТовары[Себестоимость],0))</f>
        <v>1790</v>
      </c>
      <c r="K365" s="27">
        <f t="shared" si="11"/>
        <v>0.3587174348697395</v>
      </c>
    </row>
    <row r="366" spans="1:11" x14ac:dyDescent="0.25">
      <c r="A366" s="22" t="s">
        <v>431</v>
      </c>
      <c r="B366" s="15">
        <v>45554</v>
      </c>
      <c r="C366" s="22" t="s">
        <v>10</v>
      </c>
      <c r="D366" s="31" t="str">
        <f>_xlfn.XLOOKUP(C366, ТаблицаТовары[ID товара], ТаблицаТовары[Название])</f>
        <v>Книга "Мастерство продаж"</v>
      </c>
      <c r="E366" s="17" t="str">
        <f>_xlfn.XLOOKUP(C366,ТаблицаТовары[ID товара],ТаблицаТовары[Категория])</f>
        <v>Книги</v>
      </c>
      <c r="F366" s="29">
        <v>3</v>
      </c>
      <c r="G366" s="19">
        <f>_xlfn.XLOOKUP(C366, ТаблицаТовары[ID товара], ТаблицаТовары[Цена], "Цена не найдена")</f>
        <v>890</v>
      </c>
      <c r="H366" s="25">
        <f>MAX(
    (MONTH(B366)=11)*0.15,
    (MONTH(B366)=3)*0.1,
    (OR(C366="Т-003",C366="Т-009",C366="Т-018"))*0.12,
    (F366&gt;=3)*0.08,
    (VLOOKUP(C366,ТаблицаТовары[[ID товара]:[Категория]],3,FALSE)="Одежда")*0.1,
    0
)</f>
        <v>0.12</v>
      </c>
      <c r="I366" s="19">
        <f t="shared" si="10"/>
        <v>2349.6</v>
      </c>
      <c r="J366" s="19">
        <f>F366*((G366*(1-H366)) - _xlfn.XLOOKUP(C366,ТаблицаТовары[ID товара],ТаблицаТовары[Себестоимость],0))</f>
        <v>999.60000000000014</v>
      </c>
      <c r="K366" s="27">
        <f t="shared" si="11"/>
        <v>0.42543411644535245</v>
      </c>
    </row>
    <row r="367" spans="1:11" x14ac:dyDescent="0.25">
      <c r="A367" s="22" t="s">
        <v>432</v>
      </c>
      <c r="B367" s="15">
        <v>45379</v>
      </c>
      <c r="C367" s="22" t="s">
        <v>41</v>
      </c>
      <c r="D367" s="31" t="str">
        <f>_xlfn.XLOOKUP(C367, ТаблицаТовары[ID товара], ТаблицаТовары[Название])</f>
        <v>Планшет iPad 10.2"</v>
      </c>
      <c r="E367" s="17" t="str">
        <f>_xlfn.XLOOKUP(C367,ТаблицаТовары[ID товара],ТаблицаТовары[Категория])</f>
        <v>Электроника</v>
      </c>
      <c r="F367" s="29">
        <v>3</v>
      </c>
      <c r="G367" s="19">
        <f>_xlfn.XLOOKUP(C367, ТаблицаТовары[ID товара], ТаблицаТовары[Цена], "Цена не найдена")</f>
        <v>44990</v>
      </c>
      <c r="H367" s="25">
        <f>MAX(
    (MONTH(B367)=11)*0.15,
    (MONTH(B367)=3)*0.1,
    (OR(C367="Т-003",C367="Т-009",C367="Т-018"))*0.12,
    (F367&gt;=3)*0.08,
    (VLOOKUP(C367,ТаблицаТовары[[ID товара]:[Категория]],3,FALSE)="Одежда")*0.1,
    0
)</f>
        <v>0.1</v>
      </c>
      <c r="I367" s="19">
        <f t="shared" si="10"/>
        <v>121473</v>
      </c>
      <c r="J367" s="19">
        <f>F367*((G367*(1-H367)) - _xlfn.XLOOKUP(C367,ТаблицаТовары[ID товара],ТаблицаТовары[Себестоимость],0))</f>
        <v>23973</v>
      </c>
      <c r="K367" s="27">
        <f t="shared" si="11"/>
        <v>0.19735249808599442</v>
      </c>
    </row>
    <row r="368" spans="1:11" x14ac:dyDescent="0.25">
      <c r="A368" s="22" t="s">
        <v>433</v>
      </c>
      <c r="B368" s="15">
        <v>45438</v>
      </c>
      <c r="C368" s="22" t="s">
        <v>37</v>
      </c>
      <c r="D368" s="31" t="str">
        <f>_xlfn.XLOOKUP(C368, ТаблицаТовары[ID товара], ТаблицаТовары[Название])</f>
        <v>Набор посуды 12 предметов</v>
      </c>
      <c r="E368" s="17" t="str">
        <f>_xlfn.XLOOKUP(C368,ТаблицаТовары[ID товара],ТаблицаТовары[Категория])</f>
        <v>Для дома</v>
      </c>
      <c r="F368" s="29">
        <v>3</v>
      </c>
      <c r="G368" s="19">
        <f>_xlfn.XLOOKUP(C368, ТаблицаТовары[ID товара], ТаблицаТовары[Цена], "Цена не найдена")</f>
        <v>14990</v>
      </c>
      <c r="H368" s="25">
        <f>MAX(
    (MONTH(B368)=11)*0.15,
    (MONTH(B368)=3)*0.1,
    (OR(C368="Т-003",C368="Т-009",C368="Т-018"))*0.12,
    (F368&gt;=3)*0.08,
    (VLOOKUP(C368,ТаблицаТовары[[ID товара]:[Категория]],3,FALSE)="Одежда")*0.1,
    0
)</f>
        <v>0.08</v>
      </c>
      <c r="I368" s="19">
        <f t="shared" si="10"/>
        <v>41372.400000000001</v>
      </c>
      <c r="J368" s="19">
        <f>F368*((G368*(1-H368)) - _xlfn.XLOOKUP(C368,ТаблицаТовары[ID товара],ТаблицаТовары[Себестоимость],0))</f>
        <v>15572.400000000003</v>
      </c>
      <c r="K368" s="27">
        <f t="shared" si="11"/>
        <v>0.37639585810830417</v>
      </c>
    </row>
    <row r="369" spans="1:11" x14ac:dyDescent="0.25">
      <c r="A369" s="22" t="s">
        <v>434</v>
      </c>
      <c r="B369" s="15">
        <v>45591</v>
      </c>
      <c r="C369" s="22" t="s">
        <v>28</v>
      </c>
      <c r="D369" s="31" t="str">
        <f>_xlfn.XLOOKUP(C369, ТаблицаТовары[ID товара], ТаблицаТовары[Название])</f>
        <v>Монитор 24" Samsung</v>
      </c>
      <c r="E369" s="17" t="str">
        <f>_xlfn.XLOOKUP(C369,ТаблицаТовары[ID товара],ТаблицаТовары[Категория])</f>
        <v>Электроника</v>
      </c>
      <c r="F369" s="29">
        <v>2</v>
      </c>
      <c r="G369" s="19">
        <f>_xlfn.XLOOKUP(C369, ТаблицаТовары[ID товара], ТаблицаТовары[Цена], "Цена не найдена")</f>
        <v>18990</v>
      </c>
      <c r="H369" s="25">
        <f>MAX(
    (MONTH(B369)=11)*0.15,
    (MONTH(B369)=3)*0.1,
    (OR(C369="Т-003",C369="Т-009",C369="Т-018"))*0.12,
    (F369&gt;=3)*0.08,
    (VLOOKUP(C369,ТаблицаТовары[[ID товара]:[Категория]],3,FALSE)="Одежда")*0.1,
    0
)</f>
        <v>0</v>
      </c>
      <c r="I369" s="19">
        <f t="shared" si="10"/>
        <v>37980</v>
      </c>
      <c r="J369" s="19">
        <f>F369*((G369*(1-H369)) - _xlfn.XLOOKUP(C369,ТаблицаТовары[ID товара],ТаблицаТовары[Себестоимость],0))</f>
        <v>11580</v>
      </c>
      <c r="K369" s="27">
        <f t="shared" si="11"/>
        <v>0.30489731437598738</v>
      </c>
    </row>
    <row r="370" spans="1:11" x14ac:dyDescent="0.25">
      <c r="A370" s="22" t="s">
        <v>435</v>
      </c>
      <c r="B370" s="15">
        <v>45374</v>
      </c>
      <c r="C370" s="22" t="s">
        <v>19</v>
      </c>
      <c r="D370" s="31" t="str">
        <f>_xlfn.XLOOKUP(C370, ТаблицаТовары[ID товара], ТаблицаТовары[Название])</f>
        <v>Кроссовки Nike Air Max</v>
      </c>
      <c r="E370" s="17" t="str">
        <f>_xlfn.XLOOKUP(C370,ТаблицаТовары[ID товара],ТаблицаТовары[Категория])</f>
        <v>Обувь</v>
      </c>
      <c r="F370" s="29">
        <v>1</v>
      </c>
      <c r="G370" s="19">
        <f>_xlfn.XLOOKUP(C370, ТаблицаТовары[ID товара], ТаблицаТовары[Цена], "Цена не найдена")</f>
        <v>8990</v>
      </c>
      <c r="H370" s="25">
        <f>MAX(
    (MONTH(B370)=11)*0.15,
    (MONTH(B370)=3)*0.1,
    (OR(C370="Т-003",C370="Т-009",C370="Т-018"))*0.12,
    (F370&gt;=3)*0.08,
    (VLOOKUP(C370,ТаблицаТовары[[ID товара]:[Категория]],3,FALSE)="Одежда")*0.1,
    0
)</f>
        <v>0.1</v>
      </c>
      <c r="I370" s="19">
        <f t="shared" si="10"/>
        <v>8091</v>
      </c>
      <c r="J370" s="19">
        <f>F370*((G370*(1-H370)) - _xlfn.XLOOKUP(C370,ТаблицаТовары[ID товара],ТаблицаТовары[Себестоимость],0))</f>
        <v>2891</v>
      </c>
      <c r="K370" s="27">
        <f t="shared" si="11"/>
        <v>0.35731059201582005</v>
      </c>
    </row>
    <row r="371" spans="1:11" x14ac:dyDescent="0.25">
      <c r="A371" s="22" t="s">
        <v>436</v>
      </c>
      <c r="B371" s="15">
        <v>45571</v>
      </c>
      <c r="C371" s="22" t="s">
        <v>28</v>
      </c>
      <c r="D371" s="31" t="str">
        <f>_xlfn.XLOOKUP(C371, ТаблицаТовары[ID товара], ТаблицаТовары[Название])</f>
        <v>Монитор 24" Samsung</v>
      </c>
      <c r="E371" s="17" t="str">
        <f>_xlfn.XLOOKUP(C371,ТаблицаТовары[ID товара],ТаблицаТовары[Категория])</f>
        <v>Электроника</v>
      </c>
      <c r="F371" s="29">
        <v>2</v>
      </c>
      <c r="G371" s="19">
        <f>_xlfn.XLOOKUP(C371, ТаблицаТовары[ID товара], ТаблицаТовары[Цена], "Цена не найдена")</f>
        <v>18990</v>
      </c>
      <c r="H371" s="25">
        <f>MAX(
    (MONTH(B371)=11)*0.15,
    (MONTH(B371)=3)*0.1,
    (OR(C371="Т-003",C371="Т-009",C371="Т-018"))*0.12,
    (F371&gt;=3)*0.08,
    (VLOOKUP(C371,ТаблицаТовары[[ID товара]:[Категория]],3,FALSE)="Одежда")*0.1,
    0
)</f>
        <v>0</v>
      </c>
      <c r="I371" s="19">
        <f t="shared" si="10"/>
        <v>37980</v>
      </c>
      <c r="J371" s="19">
        <f>F371*((G371*(1-H371)) - _xlfn.XLOOKUP(C371,ТаблицаТовары[ID товара],ТаблицаТовары[Себестоимость],0))</f>
        <v>11580</v>
      </c>
      <c r="K371" s="27">
        <f t="shared" si="11"/>
        <v>0.30489731437598738</v>
      </c>
    </row>
    <row r="372" spans="1:11" x14ac:dyDescent="0.25">
      <c r="A372" s="22" t="s">
        <v>437</v>
      </c>
      <c r="B372" s="15">
        <v>45611</v>
      </c>
      <c r="C372" s="22" t="s">
        <v>19</v>
      </c>
      <c r="D372" s="31" t="str">
        <f>_xlfn.XLOOKUP(C372, ТаблицаТовары[ID товара], ТаблицаТовары[Название])</f>
        <v>Кроссовки Nike Air Max</v>
      </c>
      <c r="E372" s="17" t="str">
        <f>_xlfn.XLOOKUP(C372,ТаблицаТовары[ID товара],ТаблицаТовары[Категория])</f>
        <v>Обувь</v>
      </c>
      <c r="F372" s="29">
        <v>2</v>
      </c>
      <c r="G372" s="19">
        <f>_xlfn.XLOOKUP(C372, ТаблицаТовары[ID товара], ТаблицаТовары[Цена], "Цена не найдена")</f>
        <v>8990</v>
      </c>
      <c r="H372" s="25">
        <f>MAX(
    (MONTH(B372)=11)*0.15,
    (MONTH(B372)=3)*0.1,
    (OR(C372="Т-003",C372="Т-009",C372="Т-018"))*0.12,
    (F372&gt;=3)*0.08,
    (VLOOKUP(C372,ТаблицаТовары[[ID товара]:[Категория]],3,FALSE)="Одежда")*0.1,
    0
)</f>
        <v>0.15</v>
      </c>
      <c r="I372" s="19">
        <f t="shared" si="10"/>
        <v>15283</v>
      </c>
      <c r="J372" s="19">
        <f>F372*((G372*(1-H372)) - _xlfn.XLOOKUP(C372,ТаблицаТовары[ID товара],ТаблицаТовары[Себестоимость],0))</f>
        <v>4883</v>
      </c>
      <c r="K372" s="27">
        <f t="shared" si="11"/>
        <v>0.31950533272263298</v>
      </c>
    </row>
    <row r="373" spans="1:11" x14ac:dyDescent="0.25">
      <c r="A373" s="22" t="s">
        <v>438</v>
      </c>
      <c r="B373" s="15">
        <v>45644</v>
      </c>
      <c r="C373" s="22" t="s">
        <v>16</v>
      </c>
      <c r="D373" s="31" t="str">
        <f>_xlfn.XLOOKUP(C373, ТаблицаТовары[ID товара], ТаблицаТовары[Название])</f>
        <v>Кофемашина DeLonghi</v>
      </c>
      <c r="E373" s="17" t="str">
        <f>_xlfn.XLOOKUP(C373,ТаблицаТовары[ID товара],ТаблицаТовары[Категория])</f>
        <v>Для дома</v>
      </c>
      <c r="F373" s="29">
        <v>2</v>
      </c>
      <c r="G373" s="19">
        <f>_xlfn.XLOOKUP(C373, ТаблицаТовары[ID товара], ТаблицаТовары[Цена], "Цена не найдена")</f>
        <v>45990</v>
      </c>
      <c r="H373" s="25">
        <f>MAX(
    (MONTH(B373)=11)*0.15,
    (MONTH(B373)=3)*0.1,
    (OR(C373="Т-003",C373="Т-009",C373="Т-018"))*0.12,
    (F373&gt;=3)*0.08,
    (VLOOKUP(C373,ТаблицаТовары[[ID товара]:[Категория]],3,FALSE)="Одежда")*0.1,
    0
)</f>
        <v>0</v>
      </c>
      <c r="I373" s="19">
        <f t="shared" si="10"/>
        <v>91980</v>
      </c>
      <c r="J373" s="19">
        <f>F373*((G373*(1-H373)) - _xlfn.XLOOKUP(C373,ТаблицаТовары[ID товара],ТаблицаТовары[Себестоимость],0))</f>
        <v>27180</v>
      </c>
      <c r="K373" s="27">
        <f t="shared" si="11"/>
        <v>0.29549902152641877</v>
      </c>
    </row>
    <row r="374" spans="1:11" x14ac:dyDescent="0.25">
      <c r="A374" s="22" t="s">
        <v>439</v>
      </c>
      <c r="B374" s="15">
        <v>45602</v>
      </c>
      <c r="C374" s="22" t="s">
        <v>32</v>
      </c>
      <c r="D374" s="31" t="str">
        <f>_xlfn.XLOOKUP(C374, ТаблицаТовары[ID товара], ТаблицаТовары[Название])</f>
        <v>Рюкзак туристический</v>
      </c>
      <c r="E374" s="17" t="str">
        <f>_xlfn.XLOOKUP(C374,ТаблицаТовары[ID товара],ТаблицаТовары[Категория])</f>
        <v>Аксессуары</v>
      </c>
      <c r="F374" s="29">
        <v>3</v>
      </c>
      <c r="G374" s="19">
        <f>_xlfn.XLOOKUP(C374, ТаблицаТовары[ID товара], ТаблицаТовары[Цена], "Цена не найдена")</f>
        <v>3490</v>
      </c>
      <c r="H374" s="25">
        <f>MAX(
    (MONTH(B374)=11)*0.15,
    (MONTH(B374)=3)*0.1,
    (OR(C374="Т-003",C374="Т-009",C374="Т-018"))*0.12,
    (F374&gt;=3)*0.08,
    (VLOOKUP(C374,ТаблицаТовары[[ID товара]:[Категория]],3,FALSE)="Одежда")*0.1,
    0
)</f>
        <v>0.15</v>
      </c>
      <c r="I374" s="19">
        <f t="shared" si="10"/>
        <v>8899.5</v>
      </c>
      <c r="J374" s="19">
        <f>F374*((G374*(1-H374)) - _xlfn.XLOOKUP(C374,ТаблицаТовары[ID товара],ТаблицаТовары[Себестоимость],0))</f>
        <v>3499.5</v>
      </c>
      <c r="K374" s="27">
        <f t="shared" si="11"/>
        <v>0.39322433844598009</v>
      </c>
    </row>
    <row r="375" spans="1:11" x14ac:dyDescent="0.25">
      <c r="A375" s="22" t="s">
        <v>440</v>
      </c>
      <c r="B375" s="15">
        <v>45476</v>
      </c>
      <c r="C375" s="22" t="s">
        <v>41</v>
      </c>
      <c r="D375" s="31" t="str">
        <f>_xlfn.XLOOKUP(C375, ТаблицаТовары[ID товара], ТаблицаТовары[Название])</f>
        <v>Планшет iPad 10.2"</v>
      </c>
      <c r="E375" s="17" t="str">
        <f>_xlfn.XLOOKUP(C375,ТаблицаТовары[ID товара],ТаблицаТовары[Категория])</f>
        <v>Электроника</v>
      </c>
      <c r="F375" s="29">
        <v>2</v>
      </c>
      <c r="G375" s="19">
        <f>_xlfn.XLOOKUP(C375, ТаблицаТовары[ID товара], ТаблицаТовары[Цена], "Цена не найдена")</f>
        <v>44990</v>
      </c>
      <c r="H375" s="25">
        <f>MAX(
    (MONTH(B375)=11)*0.15,
    (MONTH(B375)=3)*0.1,
    (OR(C375="Т-003",C375="Т-009",C375="Т-018"))*0.12,
    (F375&gt;=3)*0.08,
    (VLOOKUP(C375,ТаблицаТовары[[ID товара]:[Категория]],3,FALSE)="Одежда")*0.1,
    0
)</f>
        <v>0</v>
      </c>
      <c r="I375" s="19">
        <f t="shared" si="10"/>
        <v>89980</v>
      </c>
      <c r="J375" s="19">
        <f>F375*((G375*(1-H375)) - _xlfn.XLOOKUP(C375,ТаблицаТовары[ID товара],ТаблицаТовары[Себестоимость],0))</f>
        <v>24980</v>
      </c>
      <c r="K375" s="27">
        <f t="shared" si="11"/>
        <v>0.27761724827739498</v>
      </c>
    </row>
    <row r="376" spans="1:11" x14ac:dyDescent="0.25">
      <c r="A376" s="22" t="s">
        <v>441</v>
      </c>
      <c r="B376" s="15">
        <v>45646</v>
      </c>
      <c r="C376" s="22" t="s">
        <v>22</v>
      </c>
      <c r="D376" s="31" t="str">
        <f>_xlfn.XLOOKUP(C376, ТаблицаТовары[ID товара], ТаблицаТовары[Название])</f>
        <v>Ноутбук Lenovo IdeaPad</v>
      </c>
      <c r="E376" s="17" t="str">
        <f>_xlfn.XLOOKUP(C376,ТаблицаТовары[ID товара],ТаблицаТовары[Категория])</f>
        <v>Электроника</v>
      </c>
      <c r="F376" s="29">
        <v>2</v>
      </c>
      <c r="G376" s="19">
        <f>_xlfn.XLOOKUP(C376, ТаблицаТовары[ID товара], ТаблицаТовары[Цена], "Цена не найдена")</f>
        <v>64990</v>
      </c>
      <c r="H376" s="25">
        <f>MAX(
    (MONTH(B376)=11)*0.15,
    (MONTH(B376)=3)*0.1,
    (OR(C376="Т-003",C376="Т-009",C376="Т-018"))*0.12,
    (F376&gt;=3)*0.08,
    (VLOOKUP(C376,ТаблицаТовары[[ID товара]:[Категория]],3,FALSE)="Одежда")*0.1,
    0
)</f>
        <v>0</v>
      </c>
      <c r="I376" s="19">
        <f t="shared" si="10"/>
        <v>129980</v>
      </c>
      <c r="J376" s="19">
        <f>F376*((G376*(1-H376)) - _xlfn.XLOOKUP(C376,ТаблицаТовары[ID товара],ТаблицаТовары[Себестоимость],0))</f>
        <v>34380</v>
      </c>
      <c r="K376" s="27">
        <f t="shared" si="11"/>
        <v>0.26450223111247884</v>
      </c>
    </row>
    <row r="377" spans="1:11" x14ac:dyDescent="0.25">
      <c r="A377" s="22" t="s">
        <v>442</v>
      </c>
      <c r="B377" s="15">
        <v>45450</v>
      </c>
      <c r="C377" s="22" t="s">
        <v>46</v>
      </c>
      <c r="D377" s="31" t="str">
        <f>_xlfn.XLOOKUP(C377, ТаблицаТовары[ID товара], ТаблицаТовары[Название])</f>
        <v>Сумка кожаная женская</v>
      </c>
      <c r="E377" s="17" t="str">
        <f>_xlfn.XLOOKUP(C377,ТаблицаТовары[ID товара],ТаблицаТовары[Категория])</f>
        <v>Аксессуары</v>
      </c>
      <c r="F377" s="29">
        <v>1</v>
      </c>
      <c r="G377" s="19">
        <f>_xlfn.XLOOKUP(C377, ТаблицаТовары[ID товара], ТаблицаТовары[Цена], "Цена не найдена")</f>
        <v>7590</v>
      </c>
      <c r="H377" s="25">
        <f>MAX(
    (MONTH(B377)=11)*0.15,
    (MONTH(B377)=3)*0.1,
    (OR(C377="Т-003",C377="Т-009",C377="Т-018"))*0.12,
    (F377&gt;=3)*0.08,
    (VLOOKUP(C377,ТаблицаТовары[[ID товара]:[Категория]],3,FALSE)="Одежда")*0.1,
    0
)</f>
        <v>0.12</v>
      </c>
      <c r="I377" s="19">
        <f t="shared" si="10"/>
        <v>6679.2</v>
      </c>
      <c r="J377" s="19">
        <f>F377*((G377*(1-H377)) - _xlfn.XLOOKUP(C377,ТаблицаТовары[ID товара],ТаблицаТовары[Себестоимость],0))</f>
        <v>2479.1999999999998</v>
      </c>
      <c r="K377" s="27">
        <f t="shared" si="11"/>
        <v>0.37118217750628818</v>
      </c>
    </row>
    <row r="378" spans="1:11" x14ac:dyDescent="0.25">
      <c r="A378" s="22" t="s">
        <v>443</v>
      </c>
      <c r="B378" s="15">
        <v>45577</v>
      </c>
      <c r="C378" s="22" t="s">
        <v>16</v>
      </c>
      <c r="D378" s="31" t="str">
        <f>_xlfn.XLOOKUP(C378, ТаблицаТовары[ID товара], ТаблицаТовары[Название])</f>
        <v>Кофемашина DeLonghi</v>
      </c>
      <c r="E378" s="17" t="str">
        <f>_xlfn.XLOOKUP(C378,ТаблицаТовары[ID товара],ТаблицаТовары[Категория])</f>
        <v>Для дома</v>
      </c>
      <c r="F378" s="29">
        <v>3</v>
      </c>
      <c r="G378" s="19">
        <f>_xlfn.XLOOKUP(C378, ТаблицаТовары[ID товара], ТаблицаТовары[Цена], "Цена не найдена")</f>
        <v>45990</v>
      </c>
      <c r="H378" s="25">
        <f>MAX(
    (MONTH(B378)=11)*0.15,
    (MONTH(B378)=3)*0.1,
    (OR(C378="Т-003",C378="Т-009",C378="Т-018"))*0.12,
    (F378&gt;=3)*0.08,
    (VLOOKUP(C378,ТаблицаТовары[[ID товара]:[Категория]],3,FALSE)="Одежда")*0.1,
    0
)</f>
        <v>0.08</v>
      </c>
      <c r="I378" s="19">
        <f t="shared" si="10"/>
        <v>126932.40000000001</v>
      </c>
      <c r="J378" s="19">
        <f>F378*((G378*(1-H378)) - _xlfn.XLOOKUP(C378,ТаблицаТовары[ID товара],ТаблицаТовары[Себестоимость],0))</f>
        <v>29732.400000000009</v>
      </c>
      <c r="K378" s="27">
        <f t="shared" si="11"/>
        <v>0.23423806687654222</v>
      </c>
    </row>
    <row r="379" spans="1:11" x14ac:dyDescent="0.25">
      <c r="A379" s="22" t="s">
        <v>444</v>
      </c>
      <c r="B379" s="15">
        <v>45535</v>
      </c>
      <c r="C379" s="22" t="s">
        <v>16</v>
      </c>
      <c r="D379" s="31" t="str">
        <f>_xlfn.XLOOKUP(C379, ТаблицаТовары[ID товара], ТаблицаТовары[Название])</f>
        <v>Кофемашина DeLonghi</v>
      </c>
      <c r="E379" s="17" t="str">
        <f>_xlfn.XLOOKUP(C379,ТаблицаТовары[ID товара],ТаблицаТовары[Категория])</f>
        <v>Для дома</v>
      </c>
      <c r="F379" s="29">
        <v>1</v>
      </c>
      <c r="G379" s="19">
        <f>_xlfn.XLOOKUP(C379, ТаблицаТовары[ID товара], ТаблицаТовары[Цена], "Цена не найдена")</f>
        <v>45990</v>
      </c>
      <c r="H379" s="25">
        <f>MAX(
    (MONTH(B379)=11)*0.15,
    (MONTH(B379)=3)*0.1,
    (OR(C379="Т-003",C379="Т-009",C379="Т-018"))*0.12,
    (F379&gt;=3)*0.08,
    (VLOOKUP(C379,ТаблицаТовары[[ID товара]:[Категория]],3,FALSE)="Одежда")*0.1,
    0
)</f>
        <v>0</v>
      </c>
      <c r="I379" s="19">
        <f t="shared" si="10"/>
        <v>45990</v>
      </c>
      <c r="J379" s="19">
        <f>F379*((G379*(1-H379)) - _xlfn.XLOOKUP(C379,ТаблицаТовары[ID товара],ТаблицаТовары[Себестоимость],0))</f>
        <v>13590</v>
      </c>
      <c r="K379" s="27">
        <f t="shared" si="11"/>
        <v>0.29549902152641877</v>
      </c>
    </row>
    <row r="380" spans="1:11" x14ac:dyDescent="0.25">
      <c r="A380" s="22" t="s">
        <v>445</v>
      </c>
      <c r="B380" s="15">
        <v>45317</v>
      </c>
      <c r="C380" s="22" t="s">
        <v>48</v>
      </c>
      <c r="D380" s="31" t="str">
        <f>_xlfn.XLOOKUP(C380, ТаблицаТовары[ID товара], ТаблицаТовары[Название])</f>
        <v>Микрофон для стримов</v>
      </c>
      <c r="E380" s="17" t="str">
        <f>_xlfn.XLOOKUP(C380,ТаблицаТовары[ID товара],ТаблицаТовары[Категория])</f>
        <v>Электроника</v>
      </c>
      <c r="F380" s="29">
        <v>1</v>
      </c>
      <c r="G380" s="19">
        <f>_xlfn.XLOOKUP(C380, ТаблицаТовары[ID товара], ТаблицаТовары[Цена], "Цена не найдена")</f>
        <v>12990</v>
      </c>
      <c r="H380" s="25">
        <f>MAX(
    (MONTH(B380)=11)*0.15,
    (MONTH(B380)=3)*0.1,
    (OR(C380="Т-003",C380="Т-009",C380="Т-018"))*0.12,
    (F380&gt;=3)*0.08,
    (VLOOKUP(C380,ТаблицаТовары[[ID товара]:[Категория]],3,FALSE)="Одежда")*0.1,
    0
)</f>
        <v>0</v>
      </c>
      <c r="I380" s="19">
        <f t="shared" si="10"/>
        <v>12990</v>
      </c>
      <c r="J380" s="19">
        <f>F380*((G380*(1-H380)) - _xlfn.XLOOKUP(C380,ТаблицаТовары[ID товара],ТаблицаТовары[Себестоимость],0))</f>
        <v>4090</v>
      </c>
      <c r="K380" s="27">
        <f t="shared" si="11"/>
        <v>0.31485758275596615</v>
      </c>
    </row>
    <row r="381" spans="1:11" x14ac:dyDescent="0.25">
      <c r="A381" s="22" t="s">
        <v>446</v>
      </c>
      <c r="B381" s="15">
        <v>45531</v>
      </c>
      <c r="C381" s="22" t="s">
        <v>48</v>
      </c>
      <c r="D381" s="31" t="str">
        <f>_xlfn.XLOOKUP(C381, ТаблицаТовары[ID товара], ТаблицаТовары[Название])</f>
        <v>Микрофон для стримов</v>
      </c>
      <c r="E381" s="17" t="str">
        <f>_xlfn.XLOOKUP(C381,ТаблицаТовары[ID товара],ТаблицаТовары[Категория])</f>
        <v>Электроника</v>
      </c>
      <c r="F381" s="29">
        <v>2</v>
      </c>
      <c r="G381" s="19">
        <f>_xlfn.XLOOKUP(C381, ТаблицаТовары[ID товара], ТаблицаТовары[Цена], "Цена не найдена")</f>
        <v>12990</v>
      </c>
      <c r="H381" s="25">
        <f>MAX(
    (MONTH(B381)=11)*0.15,
    (MONTH(B381)=3)*0.1,
    (OR(C381="Т-003",C381="Т-009",C381="Т-018"))*0.12,
    (F381&gt;=3)*0.08,
    (VLOOKUP(C381,ТаблицаТовары[[ID товара]:[Категория]],3,FALSE)="Одежда")*0.1,
    0
)</f>
        <v>0</v>
      </c>
      <c r="I381" s="19">
        <f t="shared" si="10"/>
        <v>25980</v>
      </c>
      <c r="J381" s="19">
        <f>F381*((G381*(1-H381)) - _xlfn.XLOOKUP(C381,ТаблицаТовары[ID товара],ТаблицаТовары[Себестоимость],0))</f>
        <v>8180</v>
      </c>
      <c r="K381" s="27">
        <f t="shared" si="11"/>
        <v>0.31485758275596615</v>
      </c>
    </row>
    <row r="382" spans="1:11" x14ac:dyDescent="0.25">
      <c r="A382" s="22" t="s">
        <v>447</v>
      </c>
      <c r="B382" s="15">
        <v>45378</v>
      </c>
      <c r="C382" s="22" t="s">
        <v>5</v>
      </c>
      <c r="D382" s="31" t="str">
        <f>_xlfn.XLOOKUP(C382, ТаблицаТовары[ID товара], ТаблицаТовары[Название])</f>
        <v>Смартфон Galaxy A54</v>
      </c>
      <c r="E382" s="17" t="str">
        <f>_xlfn.XLOOKUP(C382,ТаблицаТовары[ID товара],ТаблицаТовары[Категория])</f>
        <v>Электроника</v>
      </c>
      <c r="F382" s="29">
        <v>2</v>
      </c>
      <c r="G382" s="19">
        <f>_xlfn.XLOOKUP(C382, ТаблицаТовары[ID товара], ТаблицаТовары[Цена], "Цена не найдена")</f>
        <v>29990</v>
      </c>
      <c r="H382" s="25">
        <f>MAX(
    (MONTH(B382)=11)*0.15,
    (MONTH(B382)=3)*0.1,
    (OR(C382="Т-003",C382="Т-009",C382="Т-018"))*0.12,
    (F382&gt;=3)*0.08,
    (VLOOKUP(C382,ТаблицаТовары[[ID товара]:[Категория]],3,FALSE)="Одежда")*0.1,
    0
)</f>
        <v>0.1</v>
      </c>
      <c r="I382" s="19">
        <f t="shared" si="10"/>
        <v>53982</v>
      </c>
      <c r="J382" s="19">
        <f>F382*((G382*(1-H382)) - _xlfn.XLOOKUP(C382,ТаблицаТовары[ID товара],ТаблицаТовары[Себестоимость],0))</f>
        <v>10982</v>
      </c>
      <c r="K382" s="27">
        <f t="shared" si="11"/>
        <v>0.20343818309806971</v>
      </c>
    </row>
    <row r="383" spans="1:11" x14ac:dyDescent="0.25">
      <c r="A383" s="22" t="s">
        <v>448</v>
      </c>
      <c r="B383" s="15">
        <v>45437</v>
      </c>
      <c r="C383" s="22" t="s">
        <v>8</v>
      </c>
      <c r="D383" s="31" t="str">
        <f>_xlfn.XLOOKUP(C383, ТаблицаТовары[ID товара], ТаблицаТовары[Название])</f>
        <v>Наушники Sony WH-1000XM5</v>
      </c>
      <c r="E383" s="17" t="str">
        <f>_xlfn.XLOOKUP(C383,ТаблицаТовары[ID товара],ТаблицаТовары[Категория])</f>
        <v>Электроника</v>
      </c>
      <c r="F383" s="29">
        <v>2</v>
      </c>
      <c r="G383" s="19">
        <f>_xlfn.XLOOKUP(C383, ТаблицаТовары[ID товара], ТаблицаТовары[Цена], "Цена не найдена")</f>
        <v>26990</v>
      </c>
      <c r="H383" s="25">
        <f>MAX(
    (MONTH(B383)=11)*0.15,
    (MONTH(B383)=3)*0.1,
    (OR(C383="Т-003",C383="Т-009",C383="Т-018"))*0.12,
    (F383&gt;=3)*0.08,
    (VLOOKUP(C383,ТаблицаТовары[[ID товара]:[Категория]],3,FALSE)="Одежда")*0.1,
    0
)</f>
        <v>0</v>
      </c>
      <c r="I383" s="19">
        <f t="shared" si="10"/>
        <v>53980</v>
      </c>
      <c r="J383" s="19">
        <f>F383*((G383*(1-H383)) - _xlfn.XLOOKUP(C383,ТаблицаТовары[ID товара],ТаблицаТовары[Себестоимость],0))</f>
        <v>16180</v>
      </c>
      <c r="K383" s="27">
        <f t="shared" si="11"/>
        <v>0.29974064468321598</v>
      </c>
    </row>
    <row r="384" spans="1:11" x14ac:dyDescent="0.25">
      <c r="A384" s="22" t="s">
        <v>449</v>
      </c>
      <c r="B384" s="15">
        <v>45487</v>
      </c>
      <c r="C384" s="22" t="s">
        <v>50</v>
      </c>
      <c r="D384" s="31" t="str">
        <f>_xlfn.XLOOKUP(C384, ТаблицаТовары[ID товара], ТаблицаТовары[Название])</f>
        <v>Йогуртница</v>
      </c>
      <c r="E384" s="17" t="str">
        <f>_xlfn.XLOOKUP(C384,ТаблицаТовары[ID товара],ТаблицаТовары[Категория])</f>
        <v>Для дома</v>
      </c>
      <c r="F384" s="29">
        <v>3</v>
      </c>
      <c r="G384" s="19">
        <f>_xlfn.XLOOKUP(C384, ТаблицаТовары[ID товара], ТаблицаТовары[Цена], "Цена не найдена")</f>
        <v>4990</v>
      </c>
      <c r="H384" s="25">
        <f>MAX(
    (MONTH(B384)=11)*0.15,
    (MONTH(B384)=3)*0.1,
    (OR(C384="Т-003",C384="Т-009",C384="Т-018"))*0.12,
    (F384&gt;=3)*0.08,
    (VLOOKUP(C384,ТаблицаТовары[[ID товара]:[Категория]],3,FALSE)="Одежда")*0.1,
    0
)</f>
        <v>0.08</v>
      </c>
      <c r="I384" s="19">
        <f t="shared" si="10"/>
        <v>13772.400000000001</v>
      </c>
      <c r="J384" s="19">
        <f>F384*((G384*(1-H384)) - _xlfn.XLOOKUP(C384,ТаблицаТовары[ID товара],ТаблицаТовары[Себестоимость],0))</f>
        <v>4172.4000000000005</v>
      </c>
      <c r="K384" s="27">
        <f t="shared" si="11"/>
        <v>0.30295373355406469</v>
      </c>
    </row>
    <row r="385" spans="1:11" x14ac:dyDescent="0.25">
      <c r="A385" s="22" t="s">
        <v>450</v>
      </c>
      <c r="B385" s="15">
        <v>45368</v>
      </c>
      <c r="C385" s="22" t="s">
        <v>50</v>
      </c>
      <c r="D385" s="31" t="str">
        <f>_xlfn.XLOOKUP(C385, ТаблицаТовары[ID товара], ТаблицаТовары[Название])</f>
        <v>Йогуртница</v>
      </c>
      <c r="E385" s="17" t="str">
        <f>_xlfn.XLOOKUP(C385,ТаблицаТовары[ID товара],ТаблицаТовары[Категория])</f>
        <v>Для дома</v>
      </c>
      <c r="F385" s="29">
        <v>1</v>
      </c>
      <c r="G385" s="19">
        <f>_xlfn.XLOOKUP(C385, ТаблицаТовары[ID товара], ТаблицаТовары[Цена], "Цена не найдена")</f>
        <v>4990</v>
      </c>
      <c r="H385" s="25">
        <f>MAX(
    (MONTH(B385)=11)*0.15,
    (MONTH(B385)=3)*0.1,
    (OR(C385="Т-003",C385="Т-009",C385="Т-018"))*0.12,
    (F385&gt;=3)*0.08,
    (VLOOKUP(C385,ТаблицаТовары[[ID товара]:[Категория]],3,FALSE)="Одежда")*0.1,
    0
)</f>
        <v>0.1</v>
      </c>
      <c r="I385" s="19">
        <f t="shared" si="10"/>
        <v>4491</v>
      </c>
      <c r="J385" s="19">
        <f>F385*((G385*(1-H385)) - _xlfn.XLOOKUP(C385,ТаблицаТовары[ID товара],ТаблицаТовары[Себестоимость],0))</f>
        <v>1291</v>
      </c>
      <c r="K385" s="27">
        <f t="shared" si="11"/>
        <v>0.28746381652193276</v>
      </c>
    </row>
    <row r="386" spans="1:11" x14ac:dyDescent="0.25">
      <c r="A386" s="22" t="s">
        <v>451</v>
      </c>
      <c r="B386" s="15">
        <v>45374</v>
      </c>
      <c r="C386" s="22" t="s">
        <v>28</v>
      </c>
      <c r="D386" s="31" t="str">
        <f>_xlfn.XLOOKUP(C386, ТаблицаТовары[ID товара], ТаблицаТовары[Название])</f>
        <v>Монитор 24" Samsung</v>
      </c>
      <c r="E386" s="17" t="str">
        <f>_xlfn.XLOOKUP(C386,ТаблицаТовары[ID товара],ТаблицаТовары[Категория])</f>
        <v>Электроника</v>
      </c>
      <c r="F386" s="29">
        <v>3</v>
      </c>
      <c r="G386" s="19">
        <f>_xlfn.XLOOKUP(C386, ТаблицаТовары[ID товара], ТаблицаТовары[Цена], "Цена не найдена")</f>
        <v>18990</v>
      </c>
      <c r="H386" s="25">
        <f>MAX(
    (MONTH(B386)=11)*0.15,
    (MONTH(B386)=3)*0.1,
    (OR(C386="Т-003",C386="Т-009",C386="Т-018"))*0.12,
    (F386&gt;=3)*0.08,
    (VLOOKUP(C386,ТаблицаТовары[[ID товара]:[Категория]],3,FALSE)="Одежда")*0.1,
    0
)</f>
        <v>0.1</v>
      </c>
      <c r="I386" s="19">
        <f t="shared" si="10"/>
        <v>51273</v>
      </c>
      <c r="J386" s="19">
        <f>F386*((G386*(1-H386)) - _xlfn.XLOOKUP(C386,ТаблицаТовары[ID товара],ТаблицаТовары[Себестоимость],0))</f>
        <v>11673</v>
      </c>
      <c r="K386" s="27">
        <f t="shared" si="11"/>
        <v>0.22766368263998596</v>
      </c>
    </row>
    <row r="387" spans="1:11" x14ac:dyDescent="0.25">
      <c r="A387" s="22" t="s">
        <v>452</v>
      </c>
      <c r="B387" s="15">
        <v>45494</v>
      </c>
      <c r="C387" s="22" t="s">
        <v>13</v>
      </c>
      <c r="D387" s="31" t="str">
        <f>_xlfn.XLOOKUP(C387, ТаблицаТовары[ID товара], ТаблицаТовары[Название])</f>
        <v>Куртка зимняя North Face</v>
      </c>
      <c r="E387" s="17" t="str">
        <f>_xlfn.XLOOKUP(C387,ТаблицаТовары[ID товара],ТаблицаТовары[Категория])</f>
        <v>Одежда</v>
      </c>
      <c r="F387" s="29">
        <v>2</v>
      </c>
      <c r="G387" s="19">
        <f>_xlfn.XLOOKUP(C387, ТаблицаТовары[ID товара], ТаблицаТовары[Цена], "Цена не найдена")</f>
        <v>12990</v>
      </c>
      <c r="H387" s="25">
        <f>MAX(
    (MONTH(B387)=11)*0.15,
    (MONTH(B387)=3)*0.1,
    (OR(C387="Т-003",C387="Т-009",C387="Т-018"))*0.12,
    (F387&gt;=3)*0.08,
    (VLOOKUP(C387,ТаблицаТовары[[ID товара]:[Категория]],3,FALSE)="Одежда")*0.1,
    0
)</f>
        <v>0.1</v>
      </c>
      <c r="I387" s="19">
        <f t="shared" ref="I387:I450" si="12">F387*G387*(1-H387)</f>
        <v>23382</v>
      </c>
      <c r="J387" s="19">
        <f>F387*((G387*(1-H387)) - _xlfn.XLOOKUP(C387,ТаблицаТовары[ID товара],ТаблицаТовары[Себестоимость],0))</f>
        <v>8382</v>
      </c>
      <c r="K387" s="27">
        <f t="shared" ref="K387:K450" si="13">IFERROR(J387/I387, 0)</f>
        <v>0.35848088273030537</v>
      </c>
    </row>
    <row r="388" spans="1:11" x14ac:dyDescent="0.25">
      <c r="A388" s="22" t="s">
        <v>453</v>
      </c>
      <c r="B388" s="15">
        <v>45632</v>
      </c>
      <c r="C388" s="22" t="s">
        <v>30</v>
      </c>
      <c r="D388" s="31" t="str">
        <f>_xlfn.XLOOKUP(C388, ТаблицаТовары[ID товара], ТаблицаТовары[Название])</f>
        <v>Кресло офисное</v>
      </c>
      <c r="E388" s="17" t="str">
        <f>_xlfn.XLOOKUP(C388,ТаблицаТовары[ID товара],ТаблицаТовары[Категория])</f>
        <v>Для дома</v>
      </c>
      <c r="F388" s="29">
        <v>3</v>
      </c>
      <c r="G388" s="19">
        <f>_xlfn.XLOOKUP(C388, ТаблицаТовары[ID товара], ТаблицаТовары[Цена], "Цена не найдена")</f>
        <v>21990</v>
      </c>
      <c r="H388" s="25">
        <f>MAX(
    (MONTH(B388)=11)*0.15,
    (MONTH(B388)=3)*0.1,
    (OR(C388="Т-003",C388="Т-009",C388="Т-018"))*0.12,
    (F388&gt;=3)*0.08,
    (VLOOKUP(C388,ТаблицаТовары[[ID товара]:[Категория]],3,FALSE)="Одежда")*0.1,
    0
)</f>
        <v>0.08</v>
      </c>
      <c r="I388" s="19">
        <f t="shared" si="12"/>
        <v>60692.4</v>
      </c>
      <c r="J388" s="19">
        <f>F388*((G388*(1-H388)) - _xlfn.XLOOKUP(C388,ТаблицаТовары[ID товара],ТаблицаТовары[Себестоимость],0))</f>
        <v>17192.399999999998</v>
      </c>
      <c r="K388" s="27">
        <f t="shared" si="13"/>
        <v>0.28327105205923636</v>
      </c>
    </row>
    <row r="389" spans="1:11" x14ac:dyDescent="0.25">
      <c r="A389" s="22" t="s">
        <v>454</v>
      </c>
      <c r="B389" s="15">
        <v>45600</v>
      </c>
      <c r="C389" s="22" t="s">
        <v>39</v>
      </c>
      <c r="D389" s="31" t="str">
        <f>_xlfn.XLOOKUP(C389, ТаблицаТовары[ID товара], ТаблицаТовары[Название])</f>
        <v>Джинсы Levi's 501</v>
      </c>
      <c r="E389" s="17" t="str">
        <f>_xlfn.XLOOKUP(C389,ТаблицаТовары[ID товара],ТаблицаТовары[Категория])</f>
        <v>Одежда</v>
      </c>
      <c r="F389" s="29">
        <v>3</v>
      </c>
      <c r="G389" s="19">
        <f>_xlfn.XLOOKUP(C389, ТаблицаТовары[ID товара], ТаблицаТовары[Цена], "Цена не найдена")</f>
        <v>5990</v>
      </c>
      <c r="H389" s="25">
        <f>MAX(
    (MONTH(B389)=11)*0.15,
    (MONTH(B389)=3)*0.1,
    (OR(C389="Т-003",C389="Т-009",C389="Т-018"))*0.12,
    (F389&gt;=3)*0.08,
    (VLOOKUP(C389,ТаблицаТовары[[ID товара]:[Категория]],3,FALSE)="Одежда")*0.1,
    0
)</f>
        <v>0.15</v>
      </c>
      <c r="I389" s="19">
        <f t="shared" si="12"/>
        <v>15274.5</v>
      </c>
      <c r="J389" s="19">
        <f>F389*((G389*(1-H389)) - _xlfn.XLOOKUP(C389,ТаблицаТовары[ID товара],ТаблицаТовары[Себестоимость],0))</f>
        <v>6574.5</v>
      </c>
      <c r="K389" s="27">
        <f t="shared" si="13"/>
        <v>0.43042325444368063</v>
      </c>
    </row>
    <row r="390" spans="1:11" x14ac:dyDescent="0.25">
      <c r="A390" s="22" t="s">
        <v>455</v>
      </c>
      <c r="B390" s="15">
        <v>45610</v>
      </c>
      <c r="C390" s="22" t="s">
        <v>41</v>
      </c>
      <c r="D390" s="31" t="str">
        <f>_xlfn.XLOOKUP(C390, ТаблицаТовары[ID товара], ТаблицаТовары[Название])</f>
        <v>Планшет iPad 10.2"</v>
      </c>
      <c r="E390" s="17" t="str">
        <f>_xlfn.XLOOKUP(C390,ТаблицаТовары[ID товара],ТаблицаТовары[Категория])</f>
        <v>Электроника</v>
      </c>
      <c r="F390" s="29">
        <v>2</v>
      </c>
      <c r="G390" s="19">
        <f>_xlfn.XLOOKUP(C390, ТаблицаТовары[ID товара], ТаблицаТовары[Цена], "Цена не найдена")</f>
        <v>44990</v>
      </c>
      <c r="H390" s="25">
        <f>MAX(
    (MONTH(B390)=11)*0.15,
    (MONTH(B390)=3)*0.1,
    (OR(C390="Т-003",C390="Т-009",C390="Т-018"))*0.12,
    (F390&gt;=3)*0.08,
    (VLOOKUP(C390,ТаблицаТовары[[ID товара]:[Категория]],3,FALSE)="Одежда")*0.1,
    0
)</f>
        <v>0.15</v>
      </c>
      <c r="I390" s="19">
        <f t="shared" si="12"/>
        <v>76483</v>
      </c>
      <c r="J390" s="19">
        <f>F390*((G390*(1-H390)) - _xlfn.XLOOKUP(C390,ТаблицаТовары[ID товара],ТаблицаТовары[Себестоимость],0))</f>
        <v>11483</v>
      </c>
      <c r="K390" s="27">
        <f t="shared" si="13"/>
        <v>0.15013793914987644</v>
      </c>
    </row>
    <row r="391" spans="1:11" x14ac:dyDescent="0.25">
      <c r="A391" s="22" t="s">
        <v>456</v>
      </c>
      <c r="B391" s="15">
        <v>45388</v>
      </c>
      <c r="C391" s="22" t="s">
        <v>22</v>
      </c>
      <c r="D391" s="31" t="str">
        <f>_xlfn.XLOOKUP(C391, ТаблицаТовары[ID товара], ТаблицаТовары[Название])</f>
        <v>Ноутбук Lenovo IdeaPad</v>
      </c>
      <c r="E391" s="17" t="str">
        <f>_xlfn.XLOOKUP(C391,ТаблицаТовары[ID товара],ТаблицаТовары[Категория])</f>
        <v>Электроника</v>
      </c>
      <c r="F391" s="29">
        <v>3</v>
      </c>
      <c r="G391" s="19">
        <f>_xlfn.XLOOKUP(C391, ТаблицаТовары[ID товара], ТаблицаТовары[Цена], "Цена не найдена")</f>
        <v>64990</v>
      </c>
      <c r="H391" s="25">
        <f>MAX(
    (MONTH(B391)=11)*0.15,
    (MONTH(B391)=3)*0.1,
    (OR(C391="Т-003",C391="Т-009",C391="Т-018"))*0.12,
    (F391&gt;=3)*0.08,
    (VLOOKUP(C391,ТаблицаТовары[[ID товара]:[Категория]],3,FALSE)="Одежда")*0.1,
    0
)</f>
        <v>0.08</v>
      </c>
      <c r="I391" s="19">
        <f t="shared" si="12"/>
        <v>179372.4</v>
      </c>
      <c r="J391" s="19">
        <f>F391*((G391*(1-H391)) - _xlfn.XLOOKUP(C391,ТаблицаТовары[ID товара],ТаблицаТовары[Себестоимость],0))</f>
        <v>35972.400000000009</v>
      </c>
      <c r="K391" s="27">
        <f t="shared" si="13"/>
        <v>0.20054590338312922</v>
      </c>
    </row>
    <row r="392" spans="1:11" x14ac:dyDescent="0.25">
      <c r="A392" s="22" t="s">
        <v>457</v>
      </c>
      <c r="B392" s="15">
        <v>45570</v>
      </c>
      <c r="C392" s="22" t="s">
        <v>5</v>
      </c>
      <c r="D392" s="31" t="str">
        <f>_xlfn.XLOOKUP(C392, ТаблицаТовары[ID товара], ТаблицаТовары[Название])</f>
        <v>Смартфон Galaxy A54</v>
      </c>
      <c r="E392" s="17" t="str">
        <f>_xlfn.XLOOKUP(C392,ТаблицаТовары[ID товара],ТаблицаТовары[Категория])</f>
        <v>Электроника</v>
      </c>
      <c r="F392" s="29">
        <v>3</v>
      </c>
      <c r="G392" s="19">
        <f>_xlfn.XLOOKUP(C392, ТаблицаТовары[ID товара], ТаблицаТовары[Цена], "Цена не найдена")</f>
        <v>29990</v>
      </c>
      <c r="H392" s="25">
        <f>MAX(
    (MONTH(B392)=11)*0.15,
    (MONTH(B392)=3)*0.1,
    (OR(C392="Т-003",C392="Т-009",C392="Т-018"))*0.12,
    (F392&gt;=3)*0.08,
    (VLOOKUP(C392,ТаблицаТовары[[ID товара]:[Категория]],3,FALSE)="Одежда")*0.1,
    0
)</f>
        <v>0.08</v>
      </c>
      <c r="I392" s="19">
        <f t="shared" si="12"/>
        <v>82772.400000000009</v>
      </c>
      <c r="J392" s="19">
        <f>F392*((G392*(1-H392)) - _xlfn.XLOOKUP(C392,ТаблицаТовары[ID товара],ТаблицаТовары[Себестоимость],0))</f>
        <v>18272.400000000009</v>
      </c>
      <c r="K392" s="27">
        <f t="shared" si="13"/>
        <v>0.22075474433506828</v>
      </c>
    </row>
    <row r="393" spans="1:11" x14ac:dyDescent="0.25">
      <c r="A393" s="22" t="s">
        <v>458</v>
      </c>
      <c r="B393" s="15">
        <v>45570</v>
      </c>
      <c r="C393" s="22" t="s">
        <v>5</v>
      </c>
      <c r="D393" s="31" t="str">
        <f>_xlfn.XLOOKUP(C393, ТаблицаТовары[ID товара], ТаблицаТовары[Название])</f>
        <v>Смартфон Galaxy A54</v>
      </c>
      <c r="E393" s="17" t="str">
        <f>_xlfn.XLOOKUP(C393,ТаблицаТовары[ID товара],ТаблицаТовары[Категория])</f>
        <v>Электроника</v>
      </c>
      <c r="F393" s="29">
        <v>2</v>
      </c>
      <c r="G393" s="19">
        <f>_xlfn.XLOOKUP(C393, ТаблицаТовары[ID товара], ТаблицаТовары[Цена], "Цена не найдена")</f>
        <v>29990</v>
      </c>
      <c r="H393" s="25">
        <f>MAX(
    (MONTH(B393)=11)*0.15,
    (MONTH(B393)=3)*0.1,
    (OR(C393="Т-003",C393="Т-009",C393="Т-018"))*0.12,
    (F393&gt;=3)*0.08,
    (VLOOKUP(C393,ТаблицаТовары[[ID товара]:[Категория]],3,FALSE)="Одежда")*0.1,
    0
)</f>
        <v>0</v>
      </c>
      <c r="I393" s="19">
        <f t="shared" si="12"/>
        <v>59980</v>
      </c>
      <c r="J393" s="19">
        <f>F393*((G393*(1-H393)) - _xlfn.XLOOKUP(C393,ТаблицаТовары[ID товара],ТаблицаТовары[Себестоимость],0))</f>
        <v>16980</v>
      </c>
      <c r="K393" s="27">
        <f t="shared" si="13"/>
        <v>0.28309436478826278</v>
      </c>
    </row>
    <row r="394" spans="1:11" x14ac:dyDescent="0.25">
      <c r="A394" s="22" t="s">
        <v>459</v>
      </c>
      <c r="B394" s="15">
        <v>45419</v>
      </c>
      <c r="C394" s="22" t="s">
        <v>48</v>
      </c>
      <c r="D394" s="31" t="str">
        <f>_xlfn.XLOOKUP(C394, ТаблицаТовары[ID товара], ТаблицаТовары[Название])</f>
        <v>Микрофон для стримов</v>
      </c>
      <c r="E394" s="17" t="str">
        <f>_xlfn.XLOOKUP(C394,ТаблицаТовары[ID товара],ТаблицаТовары[Категория])</f>
        <v>Электроника</v>
      </c>
      <c r="F394" s="29">
        <v>2</v>
      </c>
      <c r="G394" s="19">
        <f>_xlfn.XLOOKUP(C394, ТаблицаТовары[ID товара], ТаблицаТовары[Цена], "Цена не найдена")</f>
        <v>12990</v>
      </c>
      <c r="H394" s="25">
        <f>MAX(
    (MONTH(B394)=11)*0.15,
    (MONTH(B394)=3)*0.1,
    (OR(C394="Т-003",C394="Т-009",C394="Т-018"))*0.12,
    (F394&gt;=3)*0.08,
    (VLOOKUP(C394,ТаблицаТовары[[ID товара]:[Категория]],3,FALSE)="Одежда")*0.1,
    0
)</f>
        <v>0</v>
      </c>
      <c r="I394" s="19">
        <f t="shared" si="12"/>
        <v>25980</v>
      </c>
      <c r="J394" s="19">
        <f>F394*((G394*(1-H394)) - _xlfn.XLOOKUP(C394,ТаблицаТовары[ID товара],ТаблицаТовары[Себестоимость],0))</f>
        <v>8180</v>
      </c>
      <c r="K394" s="27">
        <f t="shared" si="13"/>
        <v>0.31485758275596615</v>
      </c>
    </row>
    <row r="395" spans="1:11" x14ac:dyDescent="0.25">
      <c r="A395" s="22" t="s">
        <v>460</v>
      </c>
      <c r="B395" s="15">
        <v>45449</v>
      </c>
      <c r="C395" s="22" t="s">
        <v>13</v>
      </c>
      <c r="D395" s="31" t="str">
        <f>_xlfn.XLOOKUP(C395, ТаблицаТовары[ID товара], ТаблицаТовары[Название])</f>
        <v>Куртка зимняя North Face</v>
      </c>
      <c r="E395" s="17" t="str">
        <f>_xlfn.XLOOKUP(C395,ТаблицаТовары[ID товара],ТаблицаТовары[Категория])</f>
        <v>Одежда</v>
      </c>
      <c r="F395" s="29">
        <v>3</v>
      </c>
      <c r="G395" s="19">
        <f>_xlfn.XLOOKUP(C395, ТаблицаТовары[ID товара], ТаблицаТовары[Цена], "Цена не найдена")</f>
        <v>12990</v>
      </c>
      <c r="H395" s="25">
        <f>MAX(
    (MONTH(B395)=11)*0.15,
    (MONTH(B395)=3)*0.1,
    (OR(C395="Т-003",C395="Т-009",C395="Т-018"))*0.12,
    (F395&gt;=3)*0.08,
    (VLOOKUP(C395,ТаблицаТовары[[ID товара]:[Категория]],3,FALSE)="Одежда")*0.1,
    0
)</f>
        <v>0.1</v>
      </c>
      <c r="I395" s="19">
        <f t="shared" si="12"/>
        <v>35073</v>
      </c>
      <c r="J395" s="19">
        <f>F395*((G395*(1-H395)) - _xlfn.XLOOKUP(C395,ТаблицаТовары[ID товара],ТаблицаТовары[Себестоимость],0))</f>
        <v>12573</v>
      </c>
      <c r="K395" s="27">
        <f t="shared" si="13"/>
        <v>0.35848088273030537</v>
      </c>
    </row>
    <row r="396" spans="1:11" x14ac:dyDescent="0.25">
      <c r="A396" s="22" t="s">
        <v>461</v>
      </c>
      <c r="B396" s="15">
        <v>45561</v>
      </c>
      <c r="C396" s="22" t="s">
        <v>16</v>
      </c>
      <c r="D396" s="31" t="str">
        <f>_xlfn.XLOOKUP(C396, ТаблицаТовары[ID товара], ТаблицаТовары[Название])</f>
        <v>Кофемашина DeLonghi</v>
      </c>
      <c r="E396" s="17" t="str">
        <f>_xlfn.XLOOKUP(C396,ТаблицаТовары[ID товара],ТаблицаТовары[Категория])</f>
        <v>Для дома</v>
      </c>
      <c r="F396" s="29">
        <v>1</v>
      </c>
      <c r="G396" s="19">
        <f>_xlfn.XLOOKUP(C396, ТаблицаТовары[ID товара], ТаблицаТовары[Цена], "Цена не найдена")</f>
        <v>45990</v>
      </c>
      <c r="H396" s="25">
        <f>MAX(
    (MONTH(B396)=11)*0.15,
    (MONTH(B396)=3)*0.1,
    (OR(C396="Т-003",C396="Т-009",C396="Т-018"))*0.12,
    (F396&gt;=3)*0.08,
    (VLOOKUP(C396,ТаблицаТовары[[ID товара]:[Категория]],3,FALSE)="Одежда")*0.1,
    0
)</f>
        <v>0</v>
      </c>
      <c r="I396" s="19">
        <f t="shared" si="12"/>
        <v>45990</v>
      </c>
      <c r="J396" s="19">
        <f>F396*((G396*(1-H396)) - _xlfn.XLOOKUP(C396,ТаблицаТовары[ID товара],ТаблицаТовары[Себестоимость],0))</f>
        <v>13590</v>
      </c>
      <c r="K396" s="27">
        <f t="shared" si="13"/>
        <v>0.29549902152641877</v>
      </c>
    </row>
    <row r="397" spans="1:11" x14ac:dyDescent="0.25">
      <c r="A397" s="22" t="s">
        <v>462</v>
      </c>
      <c r="B397" s="15">
        <v>45535</v>
      </c>
      <c r="C397" s="22" t="s">
        <v>24</v>
      </c>
      <c r="D397" s="31" t="str">
        <f>_xlfn.XLOOKUP(C397, ТаблицаТовары[ID товара], ТаблицаТовары[Название])</f>
        <v>Чайник стеклянный</v>
      </c>
      <c r="E397" s="17" t="str">
        <f>_xlfn.XLOOKUP(C397,ТаблицаТовары[ID товара],ТаблицаТовары[Категория])</f>
        <v>Для дома</v>
      </c>
      <c r="F397" s="29">
        <v>1</v>
      </c>
      <c r="G397" s="19">
        <f>_xlfn.XLOOKUP(C397, ТаблицаТовары[ID товара], ТаблицаТовары[Цена], "Цена не найдена")</f>
        <v>2490</v>
      </c>
      <c r="H397" s="25">
        <f>MAX(
    (MONTH(B397)=11)*0.15,
    (MONTH(B397)=3)*0.1,
    (OR(C397="Т-003",C397="Т-009",C397="Т-018"))*0.12,
    (F397&gt;=3)*0.08,
    (VLOOKUP(C397,ТаблицаТовары[[ID товара]:[Категория]],3,FALSE)="Одежда")*0.1,
    0
)</f>
        <v>0</v>
      </c>
      <c r="I397" s="19">
        <f t="shared" si="12"/>
        <v>2490</v>
      </c>
      <c r="J397" s="19">
        <f>F397*((G397*(1-H397)) - _xlfn.XLOOKUP(C397,ТаблицаТовары[ID товара],ТаблицаТовары[Себестоимость],0))</f>
        <v>1290</v>
      </c>
      <c r="K397" s="27">
        <f t="shared" si="13"/>
        <v>0.51807228915662651</v>
      </c>
    </row>
    <row r="398" spans="1:11" x14ac:dyDescent="0.25">
      <c r="A398" s="22" t="s">
        <v>463</v>
      </c>
      <c r="B398" s="15">
        <v>45552</v>
      </c>
      <c r="C398" s="22" t="s">
        <v>22</v>
      </c>
      <c r="D398" s="31" t="str">
        <f>_xlfn.XLOOKUP(C398, ТаблицаТовары[ID товара], ТаблицаТовары[Название])</f>
        <v>Ноутбук Lenovo IdeaPad</v>
      </c>
      <c r="E398" s="17" t="str">
        <f>_xlfn.XLOOKUP(C398,ТаблицаТовары[ID товара],ТаблицаТовары[Категория])</f>
        <v>Электроника</v>
      </c>
      <c r="F398" s="29">
        <v>1</v>
      </c>
      <c r="G398" s="19">
        <f>_xlfn.XLOOKUP(C398, ТаблицаТовары[ID товара], ТаблицаТовары[Цена], "Цена не найдена")</f>
        <v>64990</v>
      </c>
      <c r="H398" s="25">
        <f>MAX(
    (MONTH(B398)=11)*0.15,
    (MONTH(B398)=3)*0.1,
    (OR(C398="Т-003",C398="Т-009",C398="Т-018"))*0.12,
    (F398&gt;=3)*0.08,
    (VLOOKUP(C398,ТаблицаТовары[[ID товара]:[Категория]],3,FALSE)="Одежда")*0.1,
    0
)</f>
        <v>0</v>
      </c>
      <c r="I398" s="19">
        <f t="shared" si="12"/>
        <v>64990</v>
      </c>
      <c r="J398" s="19">
        <f>F398*((G398*(1-H398)) - _xlfn.XLOOKUP(C398,ТаблицаТовары[ID товара],ТаблицаТовары[Себестоимость],0))</f>
        <v>17190</v>
      </c>
      <c r="K398" s="27">
        <f t="shared" si="13"/>
        <v>0.26450223111247884</v>
      </c>
    </row>
    <row r="399" spans="1:11" x14ac:dyDescent="0.25">
      <c r="A399" s="22" t="s">
        <v>464</v>
      </c>
      <c r="B399" s="15">
        <v>45328</v>
      </c>
      <c r="C399" s="22" t="s">
        <v>50</v>
      </c>
      <c r="D399" s="31" t="str">
        <f>_xlfn.XLOOKUP(C399, ТаблицаТовары[ID товара], ТаблицаТовары[Название])</f>
        <v>Йогуртница</v>
      </c>
      <c r="E399" s="17" t="str">
        <f>_xlfn.XLOOKUP(C399,ТаблицаТовары[ID товара],ТаблицаТовары[Категория])</f>
        <v>Для дома</v>
      </c>
      <c r="F399" s="29">
        <v>1</v>
      </c>
      <c r="G399" s="19">
        <f>_xlfn.XLOOKUP(C399, ТаблицаТовары[ID товара], ТаблицаТовары[Цена], "Цена не найдена")</f>
        <v>4990</v>
      </c>
      <c r="H399" s="25">
        <f>MAX(
    (MONTH(B399)=11)*0.15,
    (MONTH(B399)=3)*0.1,
    (OR(C399="Т-003",C399="Т-009",C399="Т-018"))*0.12,
    (F399&gt;=3)*0.08,
    (VLOOKUP(C399,ТаблицаТовары[[ID товара]:[Категория]],3,FALSE)="Одежда")*0.1,
    0
)</f>
        <v>0</v>
      </c>
      <c r="I399" s="19">
        <f t="shared" si="12"/>
        <v>4990</v>
      </c>
      <c r="J399" s="19">
        <f>F399*((G399*(1-H399)) - _xlfn.XLOOKUP(C399,ТаблицаТовары[ID товара],ТаблицаТовары[Себестоимость],0))</f>
        <v>1790</v>
      </c>
      <c r="K399" s="27">
        <f t="shared" si="13"/>
        <v>0.3587174348697395</v>
      </c>
    </row>
    <row r="400" spans="1:11" x14ac:dyDescent="0.25">
      <c r="A400" s="22" t="s">
        <v>465</v>
      </c>
      <c r="B400" s="15">
        <v>45444</v>
      </c>
      <c r="C400" s="22" t="s">
        <v>48</v>
      </c>
      <c r="D400" s="31" t="str">
        <f>_xlfn.XLOOKUP(C400, ТаблицаТовары[ID товара], ТаблицаТовары[Название])</f>
        <v>Микрофон для стримов</v>
      </c>
      <c r="E400" s="17" t="str">
        <f>_xlfn.XLOOKUP(C400,ТаблицаТовары[ID товара],ТаблицаТовары[Категория])</f>
        <v>Электроника</v>
      </c>
      <c r="F400" s="29">
        <v>1</v>
      </c>
      <c r="G400" s="19">
        <f>_xlfn.XLOOKUP(C400, ТаблицаТовары[ID товара], ТаблицаТовары[Цена], "Цена не найдена")</f>
        <v>12990</v>
      </c>
      <c r="H400" s="25">
        <f>MAX(
    (MONTH(B400)=11)*0.15,
    (MONTH(B400)=3)*0.1,
    (OR(C400="Т-003",C400="Т-009",C400="Т-018"))*0.12,
    (F400&gt;=3)*0.08,
    (VLOOKUP(C400,ТаблицаТовары[[ID товара]:[Категория]],3,FALSE)="Одежда")*0.1,
    0
)</f>
        <v>0</v>
      </c>
      <c r="I400" s="19">
        <f t="shared" si="12"/>
        <v>12990</v>
      </c>
      <c r="J400" s="19">
        <f>F400*((G400*(1-H400)) - _xlfn.XLOOKUP(C400,ТаблицаТовары[ID товара],ТаблицаТовары[Себестоимость],0))</f>
        <v>4090</v>
      </c>
      <c r="K400" s="27">
        <f t="shared" si="13"/>
        <v>0.31485758275596615</v>
      </c>
    </row>
    <row r="401" spans="1:11" x14ac:dyDescent="0.25">
      <c r="A401" s="22" t="s">
        <v>466</v>
      </c>
      <c r="B401" s="15">
        <v>45412</v>
      </c>
      <c r="C401" s="22" t="s">
        <v>10</v>
      </c>
      <c r="D401" s="31" t="str">
        <f>_xlfn.XLOOKUP(C401, ТаблицаТовары[ID товара], ТаблицаТовары[Название])</f>
        <v>Книга "Мастерство продаж"</v>
      </c>
      <c r="E401" s="17" t="str">
        <f>_xlfn.XLOOKUP(C401,ТаблицаТовары[ID товара],ТаблицаТовары[Категория])</f>
        <v>Книги</v>
      </c>
      <c r="F401" s="29">
        <v>1</v>
      </c>
      <c r="G401" s="19">
        <f>_xlfn.XLOOKUP(C401, ТаблицаТовары[ID товара], ТаблицаТовары[Цена], "Цена не найдена")</f>
        <v>890</v>
      </c>
      <c r="H401" s="25">
        <f>MAX(
    (MONTH(B401)=11)*0.15,
    (MONTH(B401)=3)*0.1,
    (OR(C401="Т-003",C401="Т-009",C401="Т-018"))*0.12,
    (F401&gt;=3)*0.08,
    (VLOOKUP(C401,ТаблицаТовары[[ID товара]:[Категория]],3,FALSE)="Одежда")*0.1,
    0
)</f>
        <v>0.12</v>
      </c>
      <c r="I401" s="19">
        <f t="shared" si="12"/>
        <v>783.2</v>
      </c>
      <c r="J401" s="19">
        <f>F401*((G401*(1-H401)) - _xlfn.XLOOKUP(C401,ТаблицаТовары[ID товара],ТаблицаТовары[Себестоимость],0))</f>
        <v>333.20000000000005</v>
      </c>
      <c r="K401" s="27">
        <f t="shared" si="13"/>
        <v>0.42543411644535245</v>
      </c>
    </row>
    <row r="402" spans="1:11" x14ac:dyDescent="0.25">
      <c r="A402" s="22" t="s">
        <v>467</v>
      </c>
      <c r="B402" s="15">
        <v>45500</v>
      </c>
      <c r="C402" s="22" t="s">
        <v>37</v>
      </c>
      <c r="D402" s="31" t="str">
        <f>_xlfn.XLOOKUP(C402, ТаблицаТовары[ID товара], ТаблицаТовары[Название])</f>
        <v>Набор посуды 12 предметов</v>
      </c>
      <c r="E402" s="17" t="str">
        <f>_xlfn.XLOOKUP(C402,ТаблицаТовары[ID товара],ТаблицаТовары[Категория])</f>
        <v>Для дома</v>
      </c>
      <c r="F402" s="29">
        <v>3</v>
      </c>
      <c r="G402" s="19">
        <f>_xlfn.XLOOKUP(C402, ТаблицаТовары[ID товара], ТаблицаТовары[Цена], "Цена не найдена")</f>
        <v>14990</v>
      </c>
      <c r="H402" s="25">
        <f>MAX(
    (MONTH(B402)=11)*0.15,
    (MONTH(B402)=3)*0.1,
    (OR(C402="Т-003",C402="Т-009",C402="Т-018"))*0.12,
    (F402&gt;=3)*0.08,
    (VLOOKUP(C402,ТаблицаТовары[[ID товара]:[Категория]],3,FALSE)="Одежда")*0.1,
    0
)</f>
        <v>0.08</v>
      </c>
      <c r="I402" s="19">
        <f t="shared" si="12"/>
        <v>41372.400000000001</v>
      </c>
      <c r="J402" s="19">
        <f>F402*((G402*(1-H402)) - _xlfn.XLOOKUP(C402,ТаблицаТовары[ID товара],ТаблицаТовары[Себестоимость],0))</f>
        <v>15572.400000000003</v>
      </c>
      <c r="K402" s="27">
        <f t="shared" si="13"/>
        <v>0.37639585810830417</v>
      </c>
    </row>
    <row r="403" spans="1:11" x14ac:dyDescent="0.25">
      <c r="A403" s="22" t="s">
        <v>468</v>
      </c>
      <c r="B403" s="15">
        <v>45355</v>
      </c>
      <c r="C403" s="22" t="s">
        <v>32</v>
      </c>
      <c r="D403" s="31" t="str">
        <f>_xlfn.XLOOKUP(C403, ТаблицаТовары[ID товара], ТаблицаТовары[Название])</f>
        <v>Рюкзак туристический</v>
      </c>
      <c r="E403" s="17" t="str">
        <f>_xlfn.XLOOKUP(C403,ТаблицаТовары[ID товара],ТаблицаТовары[Категория])</f>
        <v>Аксессуары</v>
      </c>
      <c r="F403" s="29">
        <v>3</v>
      </c>
      <c r="G403" s="19">
        <f>_xlfn.XLOOKUP(C403, ТаблицаТовары[ID товара], ТаблицаТовары[Цена], "Цена не найдена")</f>
        <v>3490</v>
      </c>
      <c r="H403" s="25">
        <f>MAX(
    (MONTH(B403)=11)*0.15,
    (MONTH(B403)=3)*0.1,
    (OR(C403="Т-003",C403="Т-009",C403="Т-018"))*0.12,
    (F403&gt;=3)*0.08,
    (VLOOKUP(C403,ТаблицаТовары[[ID товара]:[Категория]],3,FALSE)="Одежда")*0.1,
    0
)</f>
        <v>0.1</v>
      </c>
      <c r="I403" s="19">
        <f t="shared" si="12"/>
        <v>9423</v>
      </c>
      <c r="J403" s="19">
        <f>F403*((G403*(1-H403)) - _xlfn.XLOOKUP(C403,ТаблицаТовары[ID товара],ТаблицаТовары[Себестоимость],0))</f>
        <v>4023</v>
      </c>
      <c r="K403" s="27">
        <f t="shared" si="13"/>
        <v>0.42693409742120342</v>
      </c>
    </row>
    <row r="404" spans="1:11" x14ac:dyDescent="0.25">
      <c r="A404" s="22" t="s">
        <v>469</v>
      </c>
      <c r="B404" s="15">
        <v>45330</v>
      </c>
      <c r="C404" s="22" t="s">
        <v>30</v>
      </c>
      <c r="D404" s="31" t="str">
        <f>_xlfn.XLOOKUP(C404, ТаблицаТовары[ID товара], ТаблицаТовары[Название])</f>
        <v>Кресло офисное</v>
      </c>
      <c r="E404" s="17" t="str">
        <f>_xlfn.XLOOKUP(C404,ТаблицаТовары[ID товара],ТаблицаТовары[Категория])</f>
        <v>Для дома</v>
      </c>
      <c r="F404" s="29">
        <v>1</v>
      </c>
      <c r="G404" s="19">
        <f>_xlfn.XLOOKUP(C404, ТаблицаТовары[ID товара], ТаблицаТовары[Цена], "Цена не найдена")</f>
        <v>21990</v>
      </c>
      <c r="H404" s="25">
        <f>MAX(
    (MONTH(B404)=11)*0.15,
    (MONTH(B404)=3)*0.1,
    (OR(C404="Т-003",C404="Т-009",C404="Т-018"))*0.12,
    (F404&gt;=3)*0.08,
    (VLOOKUP(C404,ТаблицаТовары[[ID товара]:[Категория]],3,FALSE)="Одежда")*0.1,
    0
)</f>
        <v>0</v>
      </c>
      <c r="I404" s="19">
        <f t="shared" si="12"/>
        <v>21990</v>
      </c>
      <c r="J404" s="19">
        <f>F404*((G404*(1-H404)) - _xlfn.XLOOKUP(C404,ТаблицаТовары[ID товара],ТаблицаТовары[Себестоимость],0))</f>
        <v>7490</v>
      </c>
      <c r="K404" s="27">
        <f t="shared" si="13"/>
        <v>0.34060936789449747</v>
      </c>
    </row>
    <row r="405" spans="1:11" x14ac:dyDescent="0.25">
      <c r="A405" s="22" t="s">
        <v>470</v>
      </c>
      <c r="B405" s="15">
        <v>45435</v>
      </c>
      <c r="C405" s="22" t="s">
        <v>48</v>
      </c>
      <c r="D405" s="31" t="str">
        <f>_xlfn.XLOOKUP(C405, ТаблицаТовары[ID товара], ТаблицаТовары[Название])</f>
        <v>Микрофон для стримов</v>
      </c>
      <c r="E405" s="17" t="str">
        <f>_xlfn.XLOOKUP(C405,ТаблицаТовары[ID товара],ТаблицаТовары[Категория])</f>
        <v>Электроника</v>
      </c>
      <c r="F405" s="29">
        <v>1</v>
      </c>
      <c r="G405" s="19">
        <f>_xlfn.XLOOKUP(C405, ТаблицаТовары[ID товара], ТаблицаТовары[Цена], "Цена не найдена")</f>
        <v>12990</v>
      </c>
      <c r="H405" s="25">
        <f>MAX(
    (MONTH(B405)=11)*0.15,
    (MONTH(B405)=3)*0.1,
    (OR(C405="Т-003",C405="Т-009",C405="Т-018"))*0.12,
    (F405&gt;=3)*0.08,
    (VLOOKUP(C405,ТаблицаТовары[[ID товара]:[Категория]],3,FALSE)="Одежда")*0.1,
    0
)</f>
        <v>0</v>
      </c>
      <c r="I405" s="19">
        <f t="shared" si="12"/>
        <v>12990</v>
      </c>
      <c r="J405" s="19">
        <f>F405*((G405*(1-H405)) - _xlfn.XLOOKUP(C405,ТаблицаТовары[ID товара],ТаблицаТовары[Себестоимость],0))</f>
        <v>4090</v>
      </c>
      <c r="K405" s="27">
        <f t="shared" si="13"/>
        <v>0.31485758275596615</v>
      </c>
    </row>
    <row r="406" spans="1:11" x14ac:dyDescent="0.25">
      <c r="A406" s="22" t="s">
        <v>471</v>
      </c>
      <c r="B406" s="15">
        <v>45505</v>
      </c>
      <c r="C406" s="22" t="s">
        <v>16</v>
      </c>
      <c r="D406" s="31" t="str">
        <f>_xlfn.XLOOKUP(C406, ТаблицаТовары[ID товара], ТаблицаТовары[Название])</f>
        <v>Кофемашина DeLonghi</v>
      </c>
      <c r="E406" s="17" t="str">
        <f>_xlfn.XLOOKUP(C406,ТаблицаТовары[ID товара],ТаблицаТовары[Категория])</f>
        <v>Для дома</v>
      </c>
      <c r="F406" s="29">
        <v>2</v>
      </c>
      <c r="G406" s="19">
        <f>_xlfn.XLOOKUP(C406, ТаблицаТовары[ID товара], ТаблицаТовары[Цена], "Цена не найдена")</f>
        <v>45990</v>
      </c>
      <c r="H406" s="25">
        <f>MAX(
    (MONTH(B406)=11)*0.15,
    (MONTH(B406)=3)*0.1,
    (OR(C406="Т-003",C406="Т-009",C406="Т-018"))*0.12,
    (F406&gt;=3)*0.08,
    (VLOOKUP(C406,ТаблицаТовары[[ID товара]:[Категория]],3,FALSE)="Одежда")*0.1,
    0
)</f>
        <v>0</v>
      </c>
      <c r="I406" s="19">
        <f t="shared" si="12"/>
        <v>91980</v>
      </c>
      <c r="J406" s="19">
        <f>F406*((G406*(1-H406)) - _xlfn.XLOOKUP(C406,ТаблицаТовары[ID товара],ТаблицаТовары[Себестоимость],0))</f>
        <v>27180</v>
      </c>
      <c r="K406" s="27">
        <f t="shared" si="13"/>
        <v>0.29549902152641877</v>
      </c>
    </row>
    <row r="407" spans="1:11" x14ac:dyDescent="0.25">
      <c r="A407" s="22" t="s">
        <v>472</v>
      </c>
      <c r="B407" s="15">
        <v>45313</v>
      </c>
      <c r="C407" s="22" t="s">
        <v>8</v>
      </c>
      <c r="D407" s="31" t="str">
        <f>_xlfn.XLOOKUP(C407, ТаблицаТовары[ID товара], ТаблицаТовары[Название])</f>
        <v>Наушники Sony WH-1000XM5</v>
      </c>
      <c r="E407" s="17" t="str">
        <f>_xlfn.XLOOKUP(C407,ТаблицаТовары[ID товара],ТаблицаТовары[Категория])</f>
        <v>Электроника</v>
      </c>
      <c r="F407" s="29">
        <v>3</v>
      </c>
      <c r="G407" s="19">
        <f>_xlfn.XLOOKUP(C407, ТаблицаТовары[ID товара], ТаблицаТовары[Цена], "Цена не найдена")</f>
        <v>26990</v>
      </c>
      <c r="H407" s="25">
        <f>MAX(
    (MONTH(B407)=11)*0.15,
    (MONTH(B407)=3)*0.1,
    (OR(C407="Т-003",C407="Т-009",C407="Т-018"))*0.12,
    (F407&gt;=3)*0.08,
    (VLOOKUP(C407,ТаблицаТовары[[ID товара]:[Категория]],3,FALSE)="Одежда")*0.1,
    0
)</f>
        <v>0.08</v>
      </c>
      <c r="I407" s="19">
        <f t="shared" si="12"/>
        <v>74492.400000000009</v>
      </c>
      <c r="J407" s="19">
        <f>F407*((G407*(1-H407)) - _xlfn.XLOOKUP(C407,ТаблицаТовары[ID товара],ТаблицаТовары[Себестоимость],0))</f>
        <v>17792.399999999998</v>
      </c>
      <c r="K407" s="27">
        <f t="shared" si="13"/>
        <v>0.23884852682958255</v>
      </c>
    </row>
    <row r="408" spans="1:11" x14ac:dyDescent="0.25">
      <c r="A408" s="22" t="s">
        <v>473</v>
      </c>
      <c r="B408" s="15">
        <v>45355</v>
      </c>
      <c r="C408" s="22" t="s">
        <v>8</v>
      </c>
      <c r="D408" s="31" t="str">
        <f>_xlfn.XLOOKUP(C408, ТаблицаТовары[ID товара], ТаблицаТовары[Название])</f>
        <v>Наушники Sony WH-1000XM5</v>
      </c>
      <c r="E408" s="17" t="str">
        <f>_xlfn.XLOOKUP(C408,ТаблицаТовары[ID товара],ТаблицаТовары[Категория])</f>
        <v>Электроника</v>
      </c>
      <c r="F408" s="29">
        <v>3</v>
      </c>
      <c r="G408" s="19">
        <f>_xlfn.XLOOKUP(C408, ТаблицаТовары[ID товара], ТаблицаТовары[Цена], "Цена не найдена")</f>
        <v>26990</v>
      </c>
      <c r="H408" s="25">
        <f>MAX(
    (MONTH(B408)=11)*0.15,
    (MONTH(B408)=3)*0.1,
    (OR(C408="Т-003",C408="Т-009",C408="Т-018"))*0.12,
    (F408&gt;=3)*0.08,
    (VLOOKUP(C408,ТаблицаТовары[[ID товара]:[Категория]],3,FALSE)="Одежда")*0.1,
    0
)</f>
        <v>0.1</v>
      </c>
      <c r="I408" s="19">
        <f t="shared" si="12"/>
        <v>72873</v>
      </c>
      <c r="J408" s="19">
        <f>F408*((G408*(1-H408)) - _xlfn.XLOOKUP(C408,ТаблицаТовары[ID товара],ТаблицаТовары[Себестоимость],0))</f>
        <v>16173</v>
      </c>
      <c r="K408" s="27">
        <f t="shared" si="13"/>
        <v>0.22193404964801777</v>
      </c>
    </row>
    <row r="409" spans="1:11" x14ac:dyDescent="0.25">
      <c r="A409" s="22" t="s">
        <v>474</v>
      </c>
      <c r="B409" s="15">
        <v>45419</v>
      </c>
      <c r="C409" s="22" t="s">
        <v>46</v>
      </c>
      <c r="D409" s="31" t="str">
        <f>_xlfn.XLOOKUP(C409, ТаблицаТовары[ID товара], ТаблицаТовары[Название])</f>
        <v>Сумка кожаная женская</v>
      </c>
      <c r="E409" s="17" t="str">
        <f>_xlfn.XLOOKUP(C409,ТаблицаТовары[ID товара],ТаблицаТовары[Категория])</f>
        <v>Аксессуары</v>
      </c>
      <c r="F409" s="29">
        <v>2</v>
      </c>
      <c r="G409" s="19">
        <f>_xlfn.XLOOKUP(C409, ТаблицаТовары[ID товара], ТаблицаТовары[Цена], "Цена не найдена")</f>
        <v>7590</v>
      </c>
      <c r="H409" s="25">
        <f>MAX(
    (MONTH(B409)=11)*0.15,
    (MONTH(B409)=3)*0.1,
    (OR(C409="Т-003",C409="Т-009",C409="Т-018"))*0.12,
    (F409&gt;=3)*0.08,
    (VLOOKUP(C409,ТаблицаТовары[[ID товара]:[Категория]],3,FALSE)="Одежда")*0.1,
    0
)</f>
        <v>0.12</v>
      </c>
      <c r="I409" s="19">
        <f t="shared" si="12"/>
        <v>13358.4</v>
      </c>
      <c r="J409" s="19">
        <f>F409*((G409*(1-H409)) - _xlfn.XLOOKUP(C409,ТаблицаТовары[ID товара],ТаблицаТовары[Себестоимость],0))</f>
        <v>4958.3999999999996</v>
      </c>
      <c r="K409" s="27">
        <f t="shared" si="13"/>
        <v>0.37118217750628818</v>
      </c>
    </row>
    <row r="410" spans="1:11" x14ac:dyDescent="0.25">
      <c r="A410" s="22" t="s">
        <v>475</v>
      </c>
      <c r="B410" s="15">
        <v>45505</v>
      </c>
      <c r="C410" s="22" t="s">
        <v>16</v>
      </c>
      <c r="D410" s="31" t="str">
        <f>_xlfn.XLOOKUP(C410, ТаблицаТовары[ID товара], ТаблицаТовары[Название])</f>
        <v>Кофемашина DeLonghi</v>
      </c>
      <c r="E410" s="17" t="str">
        <f>_xlfn.XLOOKUP(C410,ТаблицаТовары[ID товара],ТаблицаТовары[Категория])</f>
        <v>Для дома</v>
      </c>
      <c r="F410" s="29">
        <v>1</v>
      </c>
      <c r="G410" s="19">
        <f>_xlfn.XLOOKUP(C410, ТаблицаТовары[ID товара], ТаблицаТовары[Цена], "Цена не найдена")</f>
        <v>45990</v>
      </c>
      <c r="H410" s="25">
        <f>MAX(
    (MONTH(B410)=11)*0.15,
    (MONTH(B410)=3)*0.1,
    (OR(C410="Т-003",C410="Т-009",C410="Т-018"))*0.12,
    (F410&gt;=3)*0.08,
    (VLOOKUP(C410,ТаблицаТовары[[ID товара]:[Категория]],3,FALSE)="Одежда")*0.1,
    0
)</f>
        <v>0</v>
      </c>
      <c r="I410" s="19">
        <f t="shared" si="12"/>
        <v>45990</v>
      </c>
      <c r="J410" s="19">
        <f>F410*((G410*(1-H410)) - _xlfn.XLOOKUP(C410,ТаблицаТовары[ID товара],ТаблицаТовары[Себестоимость],0))</f>
        <v>13590</v>
      </c>
      <c r="K410" s="27">
        <f t="shared" si="13"/>
        <v>0.29549902152641877</v>
      </c>
    </row>
    <row r="411" spans="1:11" x14ac:dyDescent="0.25">
      <c r="A411" s="22" t="s">
        <v>476</v>
      </c>
      <c r="B411" s="15">
        <v>45560</v>
      </c>
      <c r="C411" s="22" t="s">
        <v>22</v>
      </c>
      <c r="D411" s="31" t="str">
        <f>_xlfn.XLOOKUP(C411, ТаблицаТовары[ID товара], ТаблицаТовары[Название])</f>
        <v>Ноутбук Lenovo IdeaPad</v>
      </c>
      <c r="E411" s="17" t="str">
        <f>_xlfn.XLOOKUP(C411,ТаблицаТовары[ID товара],ТаблицаТовары[Категория])</f>
        <v>Электроника</v>
      </c>
      <c r="F411" s="29">
        <v>2</v>
      </c>
      <c r="G411" s="19">
        <f>_xlfn.XLOOKUP(C411, ТаблицаТовары[ID товара], ТаблицаТовары[Цена], "Цена не найдена")</f>
        <v>64990</v>
      </c>
      <c r="H411" s="25">
        <f>MAX(
    (MONTH(B411)=11)*0.15,
    (MONTH(B411)=3)*0.1,
    (OR(C411="Т-003",C411="Т-009",C411="Т-018"))*0.12,
    (F411&gt;=3)*0.08,
    (VLOOKUP(C411,ТаблицаТовары[[ID товара]:[Категория]],3,FALSE)="Одежда")*0.1,
    0
)</f>
        <v>0</v>
      </c>
      <c r="I411" s="19">
        <f t="shared" si="12"/>
        <v>129980</v>
      </c>
      <c r="J411" s="19">
        <f>F411*((G411*(1-H411)) - _xlfn.XLOOKUP(C411,ТаблицаТовары[ID товара],ТаблицаТовары[Себестоимость],0))</f>
        <v>34380</v>
      </c>
      <c r="K411" s="27">
        <f t="shared" si="13"/>
        <v>0.26450223111247884</v>
      </c>
    </row>
    <row r="412" spans="1:11" x14ac:dyDescent="0.25">
      <c r="A412" s="22" t="s">
        <v>477</v>
      </c>
      <c r="B412" s="15">
        <v>45308</v>
      </c>
      <c r="C412" s="22" t="s">
        <v>35</v>
      </c>
      <c r="D412" s="31" t="str">
        <f>_xlfn.XLOOKUP(C412, ТаблицаТовары[ID товара], ТаблицаТовары[Название])</f>
        <v>Умные часы Apple Watch</v>
      </c>
      <c r="E412" s="17" t="str">
        <f>_xlfn.XLOOKUP(C412,ТаблицаТовары[ID товара],ТаблицаТовары[Категория])</f>
        <v>Электроника</v>
      </c>
      <c r="F412" s="29">
        <v>3</v>
      </c>
      <c r="G412" s="19">
        <f>_xlfn.XLOOKUP(C412, ТаблицаТовары[ID товара], ТаблицаТовары[Цена], "Цена не найдена")</f>
        <v>39990</v>
      </c>
      <c r="H412" s="25">
        <f>MAX(
    (MONTH(B412)=11)*0.15,
    (MONTH(B412)=3)*0.1,
    (OR(C412="Т-003",C412="Т-009",C412="Т-018"))*0.12,
    (F412&gt;=3)*0.08,
    (VLOOKUP(C412,ТаблицаТовары[[ID товара]:[Категория]],3,FALSE)="Одежда")*0.1,
    0
)</f>
        <v>0.08</v>
      </c>
      <c r="I412" s="19">
        <f t="shared" si="12"/>
        <v>110372.40000000001</v>
      </c>
      <c r="J412" s="19">
        <f>F412*((G412*(1-H412)) - _xlfn.XLOOKUP(C412,ТаблицаТовары[ID товара],ТаблицаТовары[Себестоимость],0))</f>
        <v>24872.400000000009</v>
      </c>
      <c r="K412" s="27">
        <f t="shared" si="13"/>
        <v>0.22534981571479831</v>
      </c>
    </row>
    <row r="413" spans="1:11" x14ac:dyDescent="0.25">
      <c r="A413" s="22" t="s">
        <v>478</v>
      </c>
      <c r="B413" s="15">
        <v>45581</v>
      </c>
      <c r="C413" s="22" t="s">
        <v>13</v>
      </c>
      <c r="D413" s="31" t="str">
        <f>_xlfn.XLOOKUP(C413, ТаблицаТовары[ID товара], ТаблицаТовары[Название])</f>
        <v>Куртка зимняя North Face</v>
      </c>
      <c r="E413" s="17" t="str">
        <f>_xlfn.XLOOKUP(C413,ТаблицаТовары[ID товара],ТаблицаТовары[Категория])</f>
        <v>Одежда</v>
      </c>
      <c r="F413" s="29">
        <v>3</v>
      </c>
      <c r="G413" s="19">
        <f>_xlfn.XLOOKUP(C413, ТаблицаТовары[ID товара], ТаблицаТовары[Цена], "Цена не найдена")</f>
        <v>12990</v>
      </c>
      <c r="H413" s="25">
        <f>MAX(
    (MONTH(B413)=11)*0.15,
    (MONTH(B413)=3)*0.1,
    (OR(C413="Т-003",C413="Т-009",C413="Т-018"))*0.12,
    (F413&gt;=3)*0.08,
    (VLOOKUP(C413,ТаблицаТовары[[ID товара]:[Категория]],3,FALSE)="Одежда")*0.1,
    0
)</f>
        <v>0.1</v>
      </c>
      <c r="I413" s="19">
        <f t="shared" si="12"/>
        <v>35073</v>
      </c>
      <c r="J413" s="19">
        <f>F413*((G413*(1-H413)) - _xlfn.XLOOKUP(C413,ТаблицаТовары[ID товара],ТаблицаТовары[Себестоимость],0))</f>
        <v>12573</v>
      </c>
      <c r="K413" s="27">
        <f t="shared" si="13"/>
        <v>0.35848088273030537</v>
      </c>
    </row>
    <row r="414" spans="1:11" x14ac:dyDescent="0.25">
      <c r="A414" s="22" t="s">
        <v>479</v>
      </c>
      <c r="B414" s="15">
        <v>45611</v>
      </c>
      <c r="C414" s="22" t="s">
        <v>16</v>
      </c>
      <c r="D414" s="31" t="str">
        <f>_xlfn.XLOOKUP(C414, ТаблицаТовары[ID товара], ТаблицаТовары[Название])</f>
        <v>Кофемашина DeLonghi</v>
      </c>
      <c r="E414" s="17" t="str">
        <f>_xlfn.XLOOKUP(C414,ТаблицаТовары[ID товара],ТаблицаТовары[Категория])</f>
        <v>Для дома</v>
      </c>
      <c r="F414" s="29">
        <v>1</v>
      </c>
      <c r="G414" s="19">
        <f>_xlfn.XLOOKUP(C414, ТаблицаТовары[ID товара], ТаблицаТовары[Цена], "Цена не найдена")</f>
        <v>45990</v>
      </c>
      <c r="H414" s="25">
        <f>MAX(
    (MONTH(B414)=11)*0.15,
    (MONTH(B414)=3)*0.1,
    (OR(C414="Т-003",C414="Т-009",C414="Т-018"))*0.12,
    (F414&gt;=3)*0.08,
    (VLOOKUP(C414,ТаблицаТовары[[ID товара]:[Категория]],3,FALSE)="Одежда")*0.1,
    0
)</f>
        <v>0.15</v>
      </c>
      <c r="I414" s="19">
        <f t="shared" si="12"/>
        <v>39091.5</v>
      </c>
      <c r="J414" s="19">
        <f>F414*((G414*(1-H414)) - _xlfn.XLOOKUP(C414,ТаблицаТовары[ID товара],ТаблицаТовары[Себестоимость],0))</f>
        <v>6691.5</v>
      </c>
      <c r="K414" s="27">
        <f t="shared" si="13"/>
        <v>0.17117531944284564</v>
      </c>
    </row>
    <row r="415" spans="1:11" x14ac:dyDescent="0.25">
      <c r="A415" s="22" t="s">
        <v>480</v>
      </c>
      <c r="B415" s="15">
        <v>45624</v>
      </c>
      <c r="C415" s="22" t="s">
        <v>13</v>
      </c>
      <c r="D415" s="31" t="str">
        <f>_xlfn.XLOOKUP(C415, ТаблицаТовары[ID товара], ТаблицаТовары[Название])</f>
        <v>Куртка зимняя North Face</v>
      </c>
      <c r="E415" s="17" t="str">
        <f>_xlfn.XLOOKUP(C415,ТаблицаТовары[ID товара],ТаблицаТовары[Категория])</f>
        <v>Одежда</v>
      </c>
      <c r="F415" s="29">
        <v>3</v>
      </c>
      <c r="G415" s="19">
        <f>_xlfn.XLOOKUP(C415, ТаблицаТовары[ID товара], ТаблицаТовары[Цена], "Цена не найдена")</f>
        <v>12990</v>
      </c>
      <c r="H415" s="25">
        <f>MAX(
    (MONTH(B415)=11)*0.15,
    (MONTH(B415)=3)*0.1,
    (OR(C415="Т-003",C415="Т-009",C415="Т-018"))*0.12,
    (F415&gt;=3)*0.08,
    (VLOOKUP(C415,ТаблицаТовары[[ID товара]:[Категория]],3,FALSE)="Одежда")*0.1,
    0
)</f>
        <v>0.15</v>
      </c>
      <c r="I415" s="19">
        <f t="shared" si="12"/>
        <v>33124.5</v>
      </c>
      <c r="J415" s="19">
        <f>F415*((G415*(1-H415)) - _xlfn.XLOOKUP(C415,ТаблицаТовары[ID товара],ТаблицаТовары[Себестоимость],0))</f>
        <v>10624.5</v>
      </c>
      <c r="K415" s="27">
        <f t="shared" si="13"/>
        <v>0.32074446406738216</v>
      </c>
    </row>
    <row r="416" spans="1:11" x14ac:dyDescent="0.25">
      <c r="A416" s="22" t="s">
        <v>481</v>
      </c>
      <c r="B416" s="15">
        <v>45404</v>
      </c>
      <c r="C416" s="22" t="s">
        <v>24</v>
      </c>
      <c r="D416" s="31" t="str">
        <f>_xlfn.XLOOKUP(C416, ТаблицаТовары[ID товара], ТаблицаТовары[Название])</f>
        <v>Чайник стеклянный</v>
      </c>
      <c r="E416" s="17" t="str">
        <f>_xlfn.XLOOKUP(C416,ТаблицаТовары[ID товара],ТаблицаТовары[Категория])</f>
        <v>Для дома</v>
      </c>
      <c r="F416" s="29">
        <v>3</v>
      </c>
      <c r="G416" s="19">
        <f>_xlfn.XLOOKUP(C416, ТаблицаТовары[ID товара], ТаблицаТовары[Цена], "Цена не найдена")</f>
        <v>2490</v>
      </c>
      <c r="H416" s="25">
        <f>MAX(
    (MONTH(B416)=11)*0.15,
    (MONTH(B416)=3)*0.1,
    (OR(C416="Т-003",C416="Т-009",C416="Т-018"))*0.12,
    (F416&gt;=3)*0.08,
    (VLOOKUP(C416,ТаблицаТовары[[ID товара]:[Категория]],3,FALSE)="Одежда")*0.1,
    0
)</f>
        <v>0.08</v>
      </c>
      <c r="I416" s="19">
        <f t="shared" si="12"/>
        <v>6872.4000000000005</v>
      </c>
      <c r="J416" s="19">
        <f>F416*((G416*(1-H416)) - _xlfn.XLOOKUP(C416,ТаблицаТовары[ID товара],ТаблицаТовары[Себестоимость],0))</f>
        <v>3272.4000000000005</v>
      </c>
      <c r="K416" s="27">
        <f t="shared" si="13"/>
        <v>0.47616553169198539</v>
      </c>
    </row>
    <row r="417" spans="1:11" x14ac:dyDescent="0.25">
      <c r="A417" s="22" t="s">
        <v>482</v>
      </c>
      <c r="B417" s="15">
        <v>45561</v>
      </c>
      <c r="C417" s="22" t="s">
        <v>30</v>
      </c>
      <c r="D417" s="31" t="str">
        <f>_xlfn.XLOOKUP(C417, ТаблицаТовары[ID товара], ТаблицаТовары[Название])</f>
        <v>Кресло офисное</v>
      </c>
      <c r="E417" s="17" t="str">
        <f>_xlfn.XLOOKUP(C417,ТаблицаТовары[ID товара],ТаблицаТовары[Категория])</f>
        <v>Для дома</v>
      </c>
      <c r="F417" s="29">
        <v>3</v>
      </c>
      <c r="G417" s="19">
        <f>_xlfn.XLOOKUP(C417, ТаблицаТовары[ID товара], ТаблицаТовары[Цена], "Цена не найдена")</f>
        <v>21990</v>
      </c>
      <c r="H417" s="25">
        <f>MAX(
    (MONTH(B417)=11)*0.15,
    (MONTH(B417)=3)*0.1,
    (OR(C417="Т-003",C417="Т-009",C417="Т-018"))*0.12,
    (F417&gt;=3)*0.08,
    (VLOOKUP(C417,ТаблицаТовары[[ID товара]:[Категория]],3,FALSE)="Одежда")*0.1,
    0
)</f>
        <v>0.08</v>
      </c>
      <c r="I417" s="19">
        <f t="shared" si="12"/>
        <v>60692.4</v>
      </c>
      <c r="J417" s="19">
        <f>F417*((G417*(1-H417)) - _xlfn.XLOOKUP(C417,ТаблицаТовары[ID товара],ТаблицаТовары[Себестоимость],0))</f>
        <v>17192.399999999998</v>
      </c>
      <c r="K417" s="27">
        <f t="shared" si="13"/>
        <v>0.28327105205923636</v>
      </c>
    </row>
    <row r="418" spans="1:11" x14ac:dyDescent="0.25">
      <c r="A418" s="22" t="s">
        <v>483</v>
      </c>
      <c r="B418" s="15">
        <v>45312</v>
      </c>
      <c r="C418" s="22" t="s">
        <v>50</v>
      </c>
      <c r="D418" s="31" t="str">
        <f>_xlfn.XLOOKUP(C418, ТаблицаТовары[ID товара], ТаблицаТовары[Название])</f>
        <v>Йогуртница</v>
      </c>
      <c r="E418" s="17" t="str">
        <f>_xlfn.XLOOKUP(C418,ТаблицаТовары[ID товара],ТаблицаТовары[Категория])</f>
        <v>Для дома</v>
      </c>
      <c r="F418" s="29">
        <v>1</v>
      </c>
      <c r="G418" s="19">
        <f>_xlfn.XLOOKUP(C418, ТаблицаТовары[ID товара], ТаблицаТовары[Цена], "Цена не найдена")</f>
        <v>4990</v>
      </c>
      <c r="H418" s="25">
        <f>MAX(
    (MONTH(B418)=11)*0.15,
    (MONTH(B418)=3)*0.1,
    (OR(C418="Т-003",C418="Т-009",C418="Т-018"))*0.12,
    (F418&gt;=3)*0.08,
    (VLOOKUP(C418,ТаблицаТовары[[ID товара]:[Категория]],3,FALSE)="Одежда")*0.1,
    0
)</f>
        <v>0</v>
      </c>
      <c r="I418" s="19">
        <f t="shared" si="12"/>
        <v>4990</v>
      </c>
      <c r="J418" s="19">
        <f>F418*((G418*(1-H418)) - _xlfn.XLOOKUP(C418,ТаблицаТовары[ID товара],ТаблицаТовары[Себестоимость],0))</f>
        <v>1790</v>
      </c>
      <c r="K418" s="27">
        <f t="shared" si="13"/>
        <v>0.3587174348697395</v>
      </c>
    </row>
    <row r="419" spans="1:11" x14ac:dyDescent="0.25">
      <c r="A419" s="22" t="s">
        <v>484</v>
      </c>
      <c r="B419" s="15">
        <v>45422</v>
      </c>
      <c r="C419" s="22" t="s">
        <v>16</v>
      </c>
      <c r="D419" s="31" t="str">
        <f>_xlfn.XLOOKUP(C419, ТаблицаТовары[ID товара], ТаблицаТовары[Название])</f>
        <v>Кофемашина DeLonghi</v>
      </c>
      <c r="E419" s="17" t="str">
        <f>_xlfn.XLOOKUP(C419,ТаблицаТовары[ID товара],ТаблицаТовары[Категория])</f>
        <v>Для дома</v>
      </c>
      <c r="F419" s="29">
        <v>1</v>
      </c>
      <c r="G419" s="19">
        <f>_xlfn.XLOOKUP(C419, ТаблицаТовары[ID товара], ТаблицаТовары[Цена], "Цена не найдена")</f>
        <v>45990</v>
      </c>
      <c r="H419" s="25">
        <f>MAX(
    (MONTH(B419)=11)*0.15,
    (MONTH(B419)=3)*0.1,
    (OR(C419="Т-003",C419="Т-009",C419="Т-018"))*0.12,
    (F419&gt;=3)*0.08,
    (VLOOKUP(C419,ТаблицаТовары[[ID товара]:[Категория]],3,FALSE)="Одежда")*0.1,
    0
)</f>
        <v>0</v>
      </c>
      <c r="I419" s="19">
        <f t="shared" si="12"/>
        <v>45990</v>
      </c>
      <c r="J419" s="19">
        <f>F419*((G419*(1-H419)) - _xlfn.XLOOKUP(C419,ТаблицаТовары[ID товара],ТаблицаТовары[Себестоимость],0))</f>
        <v>13590</v>
      </c>
      <c r="K419" s="27">
        <f t="shared" si="13"/>
        <v>0.29549902152641877</v>
      </c>
    </row>
    <row r="420" spans="1:11" x14ac:dyDescent="0.25">
      <c r="A420" s="22" t="s">
        <v>485</v>
      </c>
      <c r="B420" s="15">
        <v>45653</v>
      </c>
      <c r="C420" s="22" t="s">
        <v>8</v>
      </c>
      <c r="D420" s="31" t="str">
        <f>_xlfn.XLOOKUP(C420, ТаблицаТовары[ID товара], ТаблицаТовары[Название])</f>
        <v>Наушники Sony WH-1000XM5</v>
      </c>
      <c r="E420" s="17" t="str">
        <f>_xlfn.XLOOKUP(C420,ТаблицаТовары[ID товара],ТаблицаТовары[Категория])</f>
        <v>Электроника</v>
      </c>
      <c r="F420" s="29">
        <v>3</v>
      </c>
      <c r="G420" s="19">
        <f>_xlfn.XLOOKUP(C420, ТаблицаТовары[ID товара], ТаблицаТовары[Цена], "Цена не найдена")</f>
        <v>26990</v>
      </c>
      <c r="H420" s="25">
        <f>MAX(
    (MONTH(B420)=11)*0.15,
    (MONTH(B420)=3)*0.1,
    (OR(C420="Т-003",C420="Т-009",C420="Т-018"))*0.12,
    (F420&gt;=3)*0.08,
    (VLOOKUP(C420,ТаблицаТовары[[ID товара]:[Категория]],3,FALSE)="Одежда")*0.1,
    0
)</f>
        <v>0.08</v>
      </c>
      <c r="I420" s="19">
        <f t="shared" si="12"/>
        <v>74492.400000000009</v>
      </c>
      <c r="J420" s="19">
        <f>F420*((G420*(1-H420)) - _xlfn.XLOOKUP(C420,ТаблицаТовары[ID товара],ТаблицаТовары[Себестоимость],0))</f>
        <v>17792.399999999998</v>
      </c>
      <c r="K420" s="27">
        <f t="shared" si="13"/>
        <v>0.23884852682958255</v>
      </c>
    </row>
    <row r="421" spans="1:11" x14ac:dyDescent="0.25">
      <c r="A421" s="22" t="s">
        <v>486</v>
      </c>
      <c r="B421" s="15">
        <v>45409</v>
      </c>
      <c r="C421" s="22" t="s">
        <v>43</v>
      </c>
      <c r="D421" s="31" t="str">
        <f>_xlfn.XLOOKUP(C421, ТаблицаТовары[ID товара], ТаблицаТовары[Название])</f>
        <v>Беговая дорожка</v>
      </c>
      <c r="E421" s="17" t="str">
        <f>_xlfn.XLOOKUP(C421,ТаблицаТовары[ID товара],ТаблицаТовары[Категория])</f>
        <v>Спорт</v>
      </c>
      <c r="F421" s="29">
        <v>2</v>
      </c>
      <c r="G421" s="19">
        <f>_xlfn.XLOOKUP(C421, ТаблицаТовары[ID товара], ТаблицаТовары[Цена], "Цена не найдена")</f>
        <v>79990</v>
      </c>
      <c r="H421" s="25">
        <f>MAX(
    (MONTH(B421)=11)*0.15,
    (MONTH(B421)=3)*0.1,
    (OR(C421="Т-003",C421="Т-009",C421="Т-018"))*0.12,
    (F421&gt;=3)*0.08,
    (VLOOKUP(C421,ТаблицаТовары[[ID товара]:[Категория]],3,FALSE)="Одежда")*0.1,
    0
)</f>
        <v>0</v>
      </c>
      <c r="I421" s="19">
        <f t="shared" si="12"/>
        <v>159980</v>
      </c>
      <c r="J421" s="19">
        <f>F421*((G421*(1-H421)) - _xlfn.XLOOKUP(C421,ТаблицаТовары[ID товара],ТаблицаТовары[Себестоимость],0))</f>
        <v>42180</v>
      </c>
      <c r="K421" s="27">
        <f t="shared" si="13"/>
        <v>0.26365795724465557</v>
      </c>
    </row>
    <row r="422" spans="1:11" x14ac:dyDescent="0.25">
      <c r="A422" s="22" t="s">
        <v>487</v>
      </c>
      <c r="B422" s="15">
        <v>45477</v>
      </c>
      <c r="C422" s="22" t="s">
        <v>16</v>
      </c>
      <c r="D422" s="31" t="str">
        <f>_xlfn.XLOOKUP(C422, ТаблицаТовары[ID товара], ТаблицаТовары[Название])</f>
        <v>Кофемашина DeLonghi</v>
      </c>
      <c r="E422" s="17" t="str">
        <f>_xlfn.XLOOKUP(C422,ТаблицаТовары[ID товара],ТаблицаТовары[Категория])</f>
        <v>Для дома</v>
      </c>
      <c r="F422" s="29">
        <v>3</v>
      </c>
      <c r="G422" s="19">
        <f>_xlfn.XLOOKUP(C422, ТаблицаТовары[ID товара], ТаблицаТовары[Цена], "Цена не найдена")</f>
        <v>45990</v>
      </c>
      <c r="H422" s="25">
        <f>MAX(
    (MONTH(B422)=11)*0.15,
    (MONTH(B422)=3)*0.1,
    (OR(C422="Т-003",C422="Т-009",C422="Т-018"))*0.12,
    (F422&gt;=3)*0.08,
    (VLOOKUP(C422,ТаблицаТовары[[ID товара]:[Категория]],3,FALSE)="Одежда")*0.1,
    0
)</f>
        <v>0.08</v>
      </c>
      <c r="I422" s="19">
        <f t="shared" si="12"/>
        <v>126932.40000000001</v>
      </c>
      <c r="J422" s="19">
        <f>F422*((G422*(1-H422)) - _xlfn.XLOOKUP(C422,ТаблицаТовары[ID товара],ТаблицаТовары[Себестоимость],0))</f>
        <v>29732.400000000009</v>
      </c>
      <c r="K422" s="27">
        <f t="shared" si="13"/>
        <v>0.23423806687654222</v>
      </c>
    </row>
    <row r="423" spans="1:11" x14ac:dyDescent="0.25">
      <c r="A423" s="22" t="s">
        <v>488</v>
      </c>
      <c r="B423" s="15">
        <v>45341</v>
      </c>
      <c r="C423" s="22" t="s">
        <v>46</v>
      </c>
      <c r="D423" s="31" t="str">
        <f>_xlfn.XLOOKUP(C423, ТаблицаТовары[ID товара], ТаблицаТовары[Название])</f>
        <v>Сумка кожаная женская</v>
      </c>
      <c r="E423" s="17" t="str">
        <f>_xlfn.XLOOKUP(C423,ТаблицаТовары[ID товара],ТаблицаТовары[Категория])</f>
        <v>Аксессуары</v>
      </c>
      <c r="F423" s="29">
        <v>3</v>
      </c>
      <c r="G423" s="19">
        <f>_xlfn.XLOOKUP(C423, ТаблицаТовары[ID товара], ТаблицаТовары[Цена], "Цена не найдена")</f>
        <v>7590</v>
      </c>
      <c r="H423" s="25">
        <f>MAX(
    (MONTH(B423)=11)*0.15,
    (MONTH(B423)=3)*0.1,
    (OR(C423="Т-003",C423="Т-009",C423="Т-018"))*0.12,
    (F423&gt;=3)*0.08,
    (VLOOKUP(C423,ТаблицаТовары[[ID товара]:[Категория]],3,FALSE)="Одежда")*0.1,
    0
)</f>
        <v>0.12</v>
      </c>
      <c r="I423" s="19">
        <f t="shared" si="12"/>
        <v>20037.599999999999</v>
      </c>
      <c r="J423" s="19">
        <f>F423*((G423*(1-H423)) - _xlfn.XLOOKUP(C423,ТаблицаТовары[ID товара],ТаблицаТовары[Себестоимость],0))</f>
        <v>7437.5999999999995</v>
      </c>
      <c r="K423" s="27">
        <f t="shared" si="13"/>
        <v>0.37118217750628818</v>
      </c>
    </row>
    <row r="424" spans="1:11" x14ac:dyDescent="0.25">
      <c r="A424" s="22" t="s">
        <v>489</v>
      </c>
      <c r="B424" s="15">
        <v>45317</v>
      </c>
      <c r="C424" s="22" t="s">
        <v>28</v>
      </c>
      <c r="D424" s="31" t="str">
        <f>_xlfn.XLOOKUP(C424, ТаблицаТовары[ID товара], ТаблицаТовары[Название])</f>
        <v>Монитор 24" Samsung</v>
      </c>
      <c r="E424" s="17" t="str">
        <f>_xlfn.XLOOKUP(C424,ТаблицаТовары[ID товара],ТаблицаТовары[Категория])</f>
        <v>Электроника</v>
      </c>
      <c r="F424" s="29">
        <v>3</v>
      </c>
      <c r="G424" s="19">
        <f>_xlfn.XLOOKUP(C424, ТаблицаТовары[ID товара], ТаблицаТовары[Цена], "Цена не найдена")</f>
        <v>18990</v>
      </c>
      <c r="H424" s="25">
        <f>MAX(
    (MONTH(B424)=11)*0.15,
    (MONTH(B424)=3)*0.1,
    (OR(C424="Т-003",C424="Т-009",C424="Т-018"))*0.12,
    (F424&gt;=3)*0.08,
    (VLOOKUP(C424,ТаблицаТовары[[ID товара]:[Категория]],3,FALSE)="Одежда")*0.1,
    0
)</f>
        <v>0.08</v>
      </c>
      <c r="I424" s="19">
        <f t="shared" si="12"/>
        <v>52412.4</v>
      </c>
      <c r="J424" s="19">
        <f>F424*((G424*(1-H424)) - _xlfn.XLOOKUP(C424,ТаблицаТовары[ID товара],ТаблицаТовары[Себестоимость],0))</f>
        <v>12812.399999999998</v>
      </c>
      <c r="K424" s="27">
        <f t="shared" si="13"/>
        <v>0.24445360258259491</v>
      </c>
    </row>
    <row r="425" spans="1:11" x14ac:dyDescent="0.25">
      <c r="A425" s="22" t="s">
        <v>490</v>
      </c>
      <c r="B425" s="15">
        <v>45370</v>
      </c>
      <c r="C425" s="22" t="s">
        <v>46</v>
      </c>
      <c r="D425" s="31" t="str">
        <f>_xlfn.XLOOKUP(C425, ТаблицаТовары[ID товара], ТаблицаТовары[Название])</f>
        <v>Сумка кожаная женская</v>
      </c>
      <c r="E425" s="17" t="str">
        <f>_xlfn.XLOOKUP(C425,ТаблицаТовары[ID товара],ТаблицаТовары[Категория])</f>
        <v>Аксессуары</v>
      </c>
      <c r="F425" s="29">
        <v>1</v>
      </c>
      <c r="G425" s="19">
        <f>_xlfn.XLOOKUP(C425, ТаблицаТовары[ID товара], ТаблицаТовары[Цена], "Цена не найдена")</f>
        <v>7590</v>
      </c>
      <c r="H425" s="25">
        <f>MAX(
    (MONTH(B425)=11)*0.15,
    (MONTH(B425)=3)*0.1,
    (OR(C425="Т-003",C425="Т-009",C425="Т-018"))*0.12,
    (F425&gt;=3)*0.08,
    (VLOOKUP(C425,ТаблицаТовары[[ID товара]:[Категория]],3,FALSE)="Одежда")*0.1,
    0
)</f>
        <v>0.12</v>
      </c>
      <c r="I425" s="19">
        <f t="shared" si="12"/>
        <v>6679.2</v>
      </c>
      <c r="J425" s="19">
        <f>F425*((G425*(1-H425)) - _xlfn.XLOOKUP(C425,ТаблицаТовары[ID товара],ТаблицаТовары[Себестоимость],0))</f>
        <v>2479.1999999999998</v>
      </c>
      <c r="K425" s="27">
        <f t="shared" si="13"/>
        <v>0.37118217750628818</v>
      </c>
    </row>
    <row r="426" spans="1:11" x14ac:dyDescent="0.25">
      <c r="A426" s="22" t="s">
        <v>491</v>
      </c>
      <c r="B426" s="15">
        <v>45393</v>
      </c>
      <c r="C426" s="22" t="s">
        <v>50</v>
      </c>
      <c r="D426" s="31" t="str">
        <f>_xlfn.XLOOKUP(C426, ТаблицаТовары[ID товара], ТаблицаТовары[Название])</f>
        <v>Йогуртница</v>
      </c>
      <c r="E426" s="17" t="str">
        <f>_xlfn.XLOOKUP(C426,ТаблицаТовары[ID товара],ТаблицаТовары[Категория])</f>
        <v>Для дома</v>
      </c>
      <c r="F426" s="29">
        <v>3</v>
      </c>
      <c r="G426" s="19">
        <f>_xlfn.XLOOKUP(C426, ТаблицаТовары[ID товара], ТаблицаТовары[Цена], "Цена не найдена")</f>
        <v>4990</v>
      </c>
      <c r="H426" s="25">
        <f>MAX(
    (MONTH(B426)=11)*0.15,
    (MONTH(B426)=3)*0.1,
    (OR(C426="Т-003",C426="Т-009",C426="Т-018"))*0.12,
    (F426&gt;=3)*0.08,
    (VLOOKUP(C426,ТаблицаТовары[[ID товара]:[Категория]],3,FALSE)="Одежда")*0.1,
    0
)</f>
        <v>0.08</v>
      </c>
      <c r="I426" s="19">
        <f t="shared" si="12"/>
        <v>13772.400000000001</v>
      </c>
      <c r="J426" s="19">
        <f>F426*((G426*(1-H426)) - _xlfn.XLOOKUP(C426,ТаблицаТовары[ID товара],ТаблицаТовары[Себестоимость],0))</f>
        <v>4172.4000000000005</v>
      </c>
      <c r="K426" s="27">
        <f t="shared" si="13"/>
        <v>0.30295373355406469</v>
      </c>
    </row>
    <row r="427" spans="1:11" x14ac:dyDescent="0.25">
      <c r="A427" s="22" t="s">
        <v>492</v>
      </c>
      <c r="B427" s="15">
        <v>45327</v>
      </c>
      <c r="C427" s="22" t="s">
        <v>50</v>
      </c>
      <c r="D427" s="31" t="str">
        <f>_xlfn.XLOOKUP(C427, ТаблицаТовары[ID товара], ТаблицаТовары[Название])</f>
        <v>Йогуртница</v>
      </c>
      <c r="E427" s="17" t="str">
        <f>_xlfn.XLOOKUP(C427,ТаблицаТовары[ID товара],ТаблицаТовары[Категория])</f>
        <v>Для дома</v>
      </c>
      <c r="F427" s="29">
        <v>1</v>
      </c>
      <c r="G427" s="19">
        <f>_xlfn.XLOOKUP(C427, ТаблицаТовары[ID товара], ТаблицаТовары[Цена], "Цена не найдена")</f>
        <v>4990</v>
      </c>
      <c r="H427" s="25">
        <f>MAX(
    (MONTH(B427)=11)*0.15,
    (MONTH(B427)=3)*0.1,
    (OR(C427="Т-003",C427="Т-009",C427="Т-018"))*0.12,
    (F427&gt;=3)*0.08,
    (VLOOKUP(C427,ТаблицаТовары[[ID товара]:[Категория]],3,FALSE)="Одежда")*0.1,
    0
)</f>
        <v>0</v>
      </c>
      <c r="I427" s="19">
        <f t="shared" si="12"/>
        <v>4990</v>
      </c>
      <c r="J427" s="19">
        <f>F427*((G427*(1-H427)) - _xlfn.XLOOKUP(C427,ТаблицаТовары[ID товара],ТаблицаТовары[Себестоимость],0))</f>
        <v>1790</v>
      </c>
      <c r="K427" s="27">
        <f t="shared" si="13"/>
        <v>0.3587174348697395</v>
      </c>
    </row>
    <row r="428" spans="1:11" x14ac:dyDescent="0.25">
      <c r="A428" s="22" t="s">
        <v>493</v>
      </c>
      <c r="B428" s="15">
        <v>45598</v>
      </c>
      <c r="C428" s="22" t="s">
        <v>35</v>
      </c>
      <c r="D428" s="31" t="str">
        <f>_xlfn.XLOOKUP(C428, ТаблицаТовары[ID товара], ТаблицаТовары[Название])</f>
        <v>Умные часы Apple Watch</v>
      </c>
      <c r="E428" s="17" t="str">
        <f>_xlfn.XLOOKUP(C428,ТаблицаТовары[ID товара],ТаблицаТовары[Категория])</f>
        <v>Электроника</v>
      </c>
      <c r="F428" s="29">
        <v>2</v>
      </c>
      <c r="G428" s="19">
        <f>_xlfn.XLOOKUP(C428, ТаблицаТовары[ID товара], ТаблицаТовары[Цена], "Цена не найдена")</f>
        <v>39990</v>
      </c>
      <c r="H428" s="25">
        <f>MAX(
    (MONTH(B428)=11)*0.15,
    (MONTH(B428)=3)*0.1,
    (OR(C428="Т-003",C428="Т-009",C428="Т-018"))*0.12,
    (F428&gt;=3)*0.08,
    (VLOOKUP(C428,ТаблицаТовары[[ID товара]:[Категория]],3,FALSE)="Одежда")*0.1,
    0
)</f>
        <v>0.15</v>
      </c>
      <c r="I428" s="19">
        <f t="shared" si="12"/>
        <v>67983</v>
      </c>
      <c r="J428" s="19">
        <f>F428*((G428*(1-H428)) - _xlfn.XLOOKUP(C428,ТаблицаТовары[ID товара],ТаблицаТовары[Себестоимость],0))</f>
        <v>10983</v>
      </c>
      <c r="K428" s="27">
        <f t="shared" si="13"/>
        <v>0.16155509465601695</v>
      </c>
    </row>
    <row r="429" spans="1:11" x14ac:dyDescent="0.25">
      <c r="A429" s="22" t="s">
        <v>494</v>
      </c>
      <c r="B429" s="15">
        <v>45563</v>
      </c>
      <c r="C429" s="22" t="s">
        <v>22</v>
      </c>
      <c r="D429" s="31" t="str">
        <f>_xlfn.XLOOKUP(C429, ТаблицаТовары[ID товара], ТаблицаТовары[Название])</f>
        <v>Ноутбук Lenovo IdeaPad</v>
      </c>
      <c r="E429" s="17" t="str">
        <f>_xlfn.XLOOKUP(C429,ТаблицаТовары[ID товара],ТаблицаТовары[Категория])</f>
        <v>Электроника</v>
      </c>
      <c r="F429" s="29">
        <v>1</v>
      </c>
      <c r="G429" s="19">
        <f>_xlfn.XLOOKUP(C429, ТаблицаТовары[ID товара], ТаблицаТовары[Цена], "Цена не найдена")</f>
        <v>64990</v>
      </c>
      <c r="H429" s="25">
        <f>MAX(
    (MONTH(B429)=11)*0.15,
    (MONTH(B429)=3)*0.1,
    (OR(C429="Т-003",C429="Т-009",C429="Т-018"))*0.12,
    (F429&gt;=3)*0.08,
    (VLOOKUP(C429,ТаблицаТовары[[ID товара]:[Категория]],3,FALSE)="Одежда")*0.1,
    0
)</f>
        <v>0</v>
      </c>
      <c r="I429" s="19">
        <f t="shared" si="12"/>
        <v>64990</v>
      </c>
      <c r="J429" s="19">
        <f>F429*((G429*(1-H429)) - _xlfn.XLOOKUP(C429,ТаблицаТовары[ID товара],ТаблицаТовары[Себестоимость],0))</f>
        <v>17190</v>
      </c>
      <c r="K429" s="27">
        <f t="shared" si="13"/>
        <v>0.26450223111247884</v>
      </c>
    </row>
    <row r="430" spans="1:11" x14ac:dyDescent="0.25">
      <c r="A430" s="22" t="s">
        <v>495</v>
      </c>
      <c r="B430" s="15">
        <v>45475</v>
      </c>
      <c r="C430" s="22" t="s">
        <v>5</v>
      </c>
      <c r="D430" s="31" t="str">
        <f>_xlfn.XLOOKUP(C430, ТаблицаТовары[ID товара], ТаблицаТовары[Название])</f>
        <v>Смартфон Galaxy A54</v>
      </c>
      <c r="E430" s="17" t="str">
        <f>_xlfn.XLOOKUP(C430,ТаблицаТовары[ID товара],ТаблицаТовары[Категория])</f>
        <v>Электроника</v>
      </c>
      <c r="F430" s="29">
        <v>1</v>
      </c>
      <c r="G430" s="19">
        <f>_xlfn.XLOOKUP(C430, ТаблицаТовары[ID товара], ТаблицаТовары[Цена], "Цена не найдена")</f>
        <v>29990</v>
      </c>
      <c r="H430" s="25">
        <f>MAX(
    (MONTH(B430)=11)*0.15,
    (MONTH(B430)=3)*0.1,
    (OR(C430="Т-003",C430="Т-009",C430="Т-018"))*0.12,
    (F430&gt;=3)*0.08,
    (VLOOKUP(C430,ТаблицаТовары[[ID товара]:[Категория]],3,FALSE)="Одежда")*0.1,
    0
)</f>
        <v>0</v>
      </c>
      <c r="I430" s="19">
        <f t="shared" si="12"/>
        <v>29990</v>
      </c>
      <c r="J430" s="19">
        <f>F430*((G430*(1-H430)) - _xlfn.XLOOKUP(C430,ТаблицаТовары[ID товара],ТаблицаТовары[Себестоимость],0))</f>
        <v>8490</v>
      </c>
      <c r="K430" s="27">
        <f t="shared" si="13"/>
        <v>0.28309436478826278</v>
      </c>
    </row>
    <row r="431" spans="1:11" x14ac:dyDescent="0.25">
      <c r="A431" s="22" t="s">
        <v>496</v>
      </c>
      <c r="B431" s="15">
        <v>45448</v>
      </c>
      <c r="C431" s="22" t="s">
        <v>26</v>
      </c>
      <c r="D431" s="31" t="str">
        <f>_xlfn.XLOOKUP(C431, ТаблицаТовары[ID товара], ТаблицаТовары[Название])</f>
        <v>Футболка хлопковая</v>
      </c>
      <c r="E431" s="17" t="str">
        <f>_xlfn.XLOOKUP(C431,ТаблицаТовары[ID товара],ТаблицаТовары[Категория])</f>
        <v>Одежда</v>
      </c>
      <c r="F431" s="29">
        <v>1</v>
      </c>
      <c r="G431" s="19">
        <f>_xlfn.XLOOKUP(C431, ТаблицаТовары[ID товара], ТаблицаТовары[Цена], "Цена не найдена")</f>
        <v>990</v>
      </c>
      <c r="H431" s="25">
        <f>MAX(
    (MONTH(B431)=11)*0.15,
    (MONTH(B431)=3)*0.1,
    (OR(C431="Т-003",C431="Т-009",C431="Т-018"))*0.12,
    (F431&gt;=3)*0.08,
    (VLOOKUP(C431,ТаблицаТовары[[ID товара]:[Категория]],3,FALSE)="Одежда")*0.1,
    0
)</f>
        <v>0.12</v>
      </c>
      <c r="I431" s="19">
        <f t="shared" si="12"/>
        <v>871.2</v>
      </c>
      <c r="J431" s="19">
        <f>F431*((G431*(1-H431)) - _xlfn.XLOOKUP(C431,ТаблицаТовары[ID товара],ТаблицаТовары[Себестоимость],0))</f>
        <v>521.20000000000005</v>
      </c>
      <c r="K431" s="27">
        <f t="shared" si="13"/>
        <v>0.59825528007346196</v>
      </c>
    </row>
    <row r="432" spans="1:11" x14ac:dyDescent="0.25">
      <c r="A432" s="22" t="s">
        <v>497</v>
      </c>
      <c r="B432" s="15">
        <v>45617</v>
      </c>
      <c r="C432" s="22" t="s">
        <v>39</v>
      </c>
      <c r="D432" s="31" t="str">
        <f>_xlfn.XLOOKUP(C432, ТаблицаТовары[ID товара], ТаблицаТовары[Название])</f>
        <v>Джинсы Levi's 501</v>
      </c>
      <c r="E432" s="17" t="str">
        <f>_xlfn.XLOOKUP(C432,ТаблицаТовары[ID товара],ТаблицаТовары[Категория])</f>
        <v>Одежда</v>
      </c>
      <c r="F432" s="29">
        <v>2</v>
      </c>
      <c r="G432" s="19">
        <f>_xlfn.XLOOKUP(C432, ТаблицаТовары[ID товара], ТаблицаТовары[Цена], "Цена не найдена")</f>
        <v>5990</v>
      </c>
      <c r="H432" s="25">
        <f>MAX(
    (MONTH(B432)=11)*0.15,
    (MONTH(B432)=3)*0.1,
    (OR(C432="Т-003",C432="Т-009",C432="Т-018"))*0.12,
    (F432&gt;=3)*0.08,
    (VLOOKUP(C432,ТаблицаТовары[[ID товара]:[Категория]],3,FALSE)="Одежда")*0.1,
    0
)</f>
        <v>0.15</v>
      </c>
      <c r="I432" s="19">
        <f t="shared" si="12"/>
        <v>10183</v>
      </c>
      <c r="J432" s="19">
        <f>F432*((G432*(1-H432)) - _xlfn.XLOOKUP(C432,ТаблицаТовары[ID товара],ТаблицаТовары[Себестоимость],0))</f>
        <v>4383</v>
      </c>
      <c r="K432" s="27">
        <f t="shared" si="13"/>
        <v>0.43042325444368063</v>
      </c>
    </row>
    <row r="433" spans="1:11" x14ac:dyDescent="0.25">
      <c r="A433" s="22" t="s">
        <v>498</v>
      </c>
      <c r="B433" s="15">
        <v>45619</v>
      </c>
      <c r="C433" s="22" t="s">
        <v>26</v>
      </c>
      <c r="D433" s="31" t="str">
        <f>_xlfn.XLOOKUP(C433, ТаблицаТовары[ID товара], ТаблицаТовары[Название])</f>
        <v>Футболка хлопковая</v>
      </c>
      <c r="E433" s="17" t="str">
        <f>_xlfn.XLOOKUP(C433,ТаблицаТовары[ID товара],ТаблицаТовары[Категория])</f>
        <v>Одежда</v>
      </c>
      <c r="F433" s="29">
        <v>2</v>
      </c>
      <c r="G433" s="19">
        <f>_xlfn.XLOOKUP(C433, ТаблицаТовары[ID товара], ТаблицаТовары[Цена], "Цена не найдена")</f>
        <v>990</v>
      </c>
      <c r="H433" s="25">
        <f>MAX(
    (MONTH(B433)=11)*0.15,
    (MONTH(B433)=3)*0.1,
    (OR(C433="Т-003",C433="Т-009",C433="Т-018"))*0.12,
    (F433&gt;=3)*0.08,
    (VLOOKUP(C433,ТаблицаТовары[[ID товара]:[Категория]],3,FALSE)="Одежда")*0.1,
    0
)</f>
        <v>0.15</v>
      </c>
      <c r="I433" s="19">
        <f t="shared" si="12"/>
        <v>1683</v>
      </c>
      <c r="J433" s="19">
        <f>F433*((G433*(1-H433)) - _xlfn.XLOOKUP(C433,ТаблицаТовары[ID товара],ТаблицаТовары[Себестоимость],0))</f>
        <v>983</v>
      </c>
      <c r="K433" s="27">
        <f t="shared" si="13"/>
        <v>0.58407605466428991</v>
      </c>
    </row>
    <row r="434" spans="1:11" x14ac:dyDescent="0.25">
      <c r="A434" s="22" t="s">
        <v>499</v>
      </c>
      <c r="B434" s="15">
        <v>45340</v>
      </c>
      <c r="C434" s="22" t="s">
        <v>10</v>
      </c>
      <c r="D434" s="31" t="str">
        <f>_xlfn.XLOOKUP(C434, ТаблицаТовары[ID товара], ТаблицаТовары[Название])</f>
        <v>Книга "Мастерство продаж"</v>
      </c>
      <c r="E434" s="17" t="str">
        <f>_xlfn.XLOOKUP(C434,ТаблицаТовары[ID товара],ТаблицаТовары[Категория])</f>
        <v>Книги</v>
      </c>
      <c r="F434" s="29">
        <v>2</v>
      </c>
      <c r="G434" s="19">
        <f>_xlfn.XLOOKUP(C434, ТаблицаТовары[ID товара], ТаблицаТовары[Цена], "Цена не найдена")</f>
        <v>890</v>
      </c>
      <c r="H434" s="25">
        <f>MAX(
    (MONTH(B434)=11)*0.15,
    (MONTH(B434)=3)*0.1,
    (OR(C434="Т-003",C434="Т-009",C434="Т-018"))*0.12,
    (F434&gt;=3)*0.08,
    (VLOOKUP(C434,ТаблицаТовары[[ID товара]:[Категория]],3,FALSE)="Одежда")*0.1,
    0
)</f>
        <v>0.12</v>
      </c>
      <c r="I434" s="19">
        <f t="shared" si="12"/>
        <v>1566.4</v>
      </c>
      <c r="J434" s="19">
        <f>F434*((G434*(1-H434)) - _xlfn.XLOOKUP(C434,ТаблицаТовары[ID товара],ТаблицаТовары[Себестоимость],0))</f>
        <v>666.40000000000009</v>
      </c>
      <c r="K434" s="27">
        <f t="shared" si="13"/>
        <v>0.42543411644535245</v>
      </c>
    </row>
    <row r="435" spans="1:11" x14ac:dyDescent="0.25">
      <c r="A435" s="22" t="s">
        <v>500</v>
      </c>
      <c r="B435" s="15">
        <v>45349</v>
      </c>
      <c r="C435" s="22" t="s">
        <v>30</v>
      </c>
      <c r="D435" s="31" t="str">
        <f>_xlfn.XLOOKUP(C435, ТаблицаТовары[ID товара], ТаблицаТовары[Название])</f>
        <v>Кресло офисное</v>
      </c>
      <c r="E435" s="17" t="str">
        <f>_xlfn.XLOOKUP(C435,ТаблицаТовары[ID товара],ТаблицаТовары[Категория])</f>
        <v>Для дома</v>
      </c>
      <c r="F435" s="29">
        <v>1</v>
      </c>
      <c r="G435" s="19">
        <f>_xlfn.XLOOKUP(C435, ТаблицаТовары[ID товара], ТаблицаТовары[Цена], "Цена не найдена")</f>
        <v>21990</v>
      </c>
      <c r="H435" s="25">
        <f>MAX(
    (MONTH(B435)=11)*0.15,
    (MONTH(B435)=3)*0.1,
    (OR(C435="Т-003",C435="Т-009",C435="Т-018"))*0.12,
    (F435&gt;=3)*0.08,
    (VLOOKUP(C435,ТаблицаТовары[[ID товара]:[Категория]],3,FALSE)="Одежда")*0.1,
    0
)</f>
        <v>0</v>
      </c>
      <c r="I435" s="19">
        <f t="shared" si="12"/>
        <v>21990</v>
      </c>
      <c r="J435" s="19">
        <f>F435*((G435*(1-H435)) - _xlfn.XLOOKUP(C435,ТаблицаТовары[ID товара],ТаблицаТовары[Себестоимость],0))</f>
        <v>7490</v>
      </c>
      <c r="K435" s="27">
        <f t="shared" si="13"/>
        <v>0.34060936789449747</v>
      </c>
    </row>
    <row r="436" spans="1:11" x14ac:dyDescent="0.25">
      <c r="A436" s="22" t="s">
        <v>501</v>
      </c>
      <c r="B436" s="15">
        <v>45595</v>
      </c>
      <c r="C436" s="22" t="s">
        <v>22</v>
      </c>
      <c r="D436" s="31" t="str">
        <f>_xlfn.XLOOKUP(C436, ТаблицаТовары[ID товара], ТаблицаТовары[Название])</f>
        <v>Ноутбук Lenovo IdeaPad</v>
      </c>
      <c r="E436" s="17" t="str">
        <f>_xlfn.XLOOKUP(C436,ТаблицаТовары[ID товара],ТаблицаТовары[Категория])</f>
        <v>Электроника</v>
      </c>
      <c r="F436" s="29">
        <v>2</v>
      </c>
      <c r="G436" s="19">
        <f>_xlfn.XLOOKUP(C436, ТаблицаТовары[ID товара], ТаблицаТовары[Цена], "Цена не найдена")</f>
        <v>64990</v>
      </c>
      <c r="H436" s="25">
        <f>MAX(
    (MONTH(B436)=11)*0.15,
    (MONTH(B436)=3)*0.1,
    (OR(C436="Т-003",C436="Т-009",C436="Т-018"))*0.12,
    (F436&gt;=3)*0.08,
    (VLOOKUP(C436,ТаблицаТовары[[ID товара]:[Категория]],3,FALSE)="Одежда")*0.1,
    0
)</f>
        <v>0</v>
      </c>
      <c r="I436" s="19">
        <f t="shared" si="12"/>
        <v>129980</v>
      </c>
      <c r="J436" s="19">
        <f>F436*((G436*(1-H436)) - _xlfn.XLOOKUP(C436,ТаблицаТовары[ID товара],ТаблицаТовары[Себестоимость],0))</f>
        <v>34380</v>
      </c>
      <c r="K436" s="27">
        <f t="shared" si="13"/>
        <v>0.26450223111247884</v>
      </c>
    </row>
    <row r="437" spans="1:11" x14ac:dyDescent="0.25">
      <c r="A437" s="22" t="s">
        <v>502</v>
      </c>
      <c r="B437" s="15">
        <v>45622</v>
      </c>
      <c r="C437" s="22" t="s">
        <v>19</v>
      </c>
      <c r="D437" s="31" t="str">
        <f>_xlfn.XLOOKUP(C437, ТаблицаТовары[ID товара], ТаблицаТовары[Название])</f>
        <v>Кроссовки Nike Air Max</v>
      </c>
      <c r="E437" s="17" t="str">
        <f>_xlfn.XLOOKUP(C437,ТаблицаТовары[ID товара],ТаблицаТовары[Категория])</f>
        <v>Обувь</v>
      </c>
      <c r="F437" s="29">
        <v>3</v>
      </c>
      <c r="G437" s="19">
        <f>_xlfn.XLOOKUP(C437, ТаблицаТовары[ID товара], ТаблицаТовары[Цена], "Цена не найдена")</f>
        <v>8990</v>
      </c>
      <c r="H437" s="25">
        <f>MAX(
    (MONTH(B437)=11)*0.15,
    (MONTH(B437)=3)*0.1,
    (OR(C437="Т-003",C437="Т-009",C437="Т-018"))*0.12,
    (F437&gt;=3)*0.08,
    (VLOOKUP(C437,ТаблицаТовары[[ID товара]:[Категория]],3,FALSE)="Одежда")*0.1,
    0
)</f>
        <v>0.15</v>
      </c>
      <c r="I437" s="19">
        <f t="shared" si="12"/>
        <v>22924.5</v>
      </c>
      <c r="J437" s="19">
        <f>F437*((G437*(1-H437)) - _xlfn.XLOOKUP(C437,ТаблицаТовары[ID товара],ТаблицаТовары[Себестоимость],0))</f>
        <v>7324.5</v>
      </c>
      <c r="K437" s="27">
        <f t="shared" si="13"/>
        <v>0.31950533272263298</v>
      </c>
    </row>
    <row r="438" spans="1:11" x14ac:dyDescent="0.25">
      <c r="A438" s="22" t="s">
        <v>503</v>
      </c>
      <c r="B438" s="15">
        <v>45319</v>
      </c>
      <c r="C438" s="22" t="s">
        <v>19</v>
      </c>
      <c r="D438" s="31" t="str">
        <f>_xlfn.XLOOKUP(C438, ТаблицаТовары[ID товара], ТаблицаТовары[Название])</f>
        <v>Кроссовки Nike Air Max</v>
      </c>
      <c r="E438" s="17" t="str">
        <f>_xlfn.XLOOKUP(C438,ТаблицаТовары[ID товара],ТаблицаТовары[Категория])</f>
        <v>Обувь</v>
      </c>
      <c r="F438" s="29">
        <v>2</v>
      </c>
      <c r="G438" s="19">
        <f>_xlfn.XLOOKUP(C438, ТаблицаТовары[ID товара], ТаблицаТовары[Цена], "Цена не найдена")</f>
        <v>8990</v>
      </c>
      <c r="H438" s="25">
        <f>MAX(
    (MONTH(B438)=11)*0.15,
    (MONTH(B438)=3)*0.1,
    (OR(C438="Т-003",C438="Т-009",C438="Т-018"))*0.12,
    (F438&gt;=3)*0.08,
    (VLOOKUP(C438,ТаблицаТовары[[ID товара]:[Категория]],3,FALSE)="Одежда")*0.1,
    0
)</f>
        <v>0</v>
      </c>
      <c r="I438" s="19">
        <f t="shared" si="12"/>
        <v>17980</v>
      </c>
      <c r="J438" s="19">
        <f>F438*((G438*(1-H438)) - _xlfn.XLOOKUP(C438,ТаблицаТовары[ID товара],ТаблицаТовары[Себестоимость],0))</f>
        <v>7580</v>
      </c>
      <c r="K438" s="27">
        <f t="shared" si="13"/>
        <v>0.42157953281423804</v>
      </c>
    </row>
    <row r="439" spans="1:11" x14ac:dyDescent="0.25">
      <c r="A439" s="22" t="s">
        <v>504</v>
      </c>
      <c r="B439" s="15">
        <v>45600</v>
      </c>
      <c r="C439" s="22" t="s">
        <v>41</v>
      </c>
      <c r="D439" s="31" t="str">
        <f>_xlfn.XLOOKUP(C439, ТаблицаТовары[ID товара], ТаблицаТовары[Название])</f>
        <v>Планшет iPad 10.2"</v>
      </c>
      <c r="E439" s="17" t="str">
        <f>_xlfn.XLOOKUP(C439,ТаблицаТовары[ID товара],ТаблицаТовары[Категория])</f>
        <v>Электроника</v>
      </c>
      <c r="F439" s="29">
        <v>1</v>
      </c>
      <c r="G439" s="19">
        <f>_xlfn.XLOOKUP(C439, ТаблицаТовары[ID товара], ТаблицаТовары[Цена], "Цена не найдена")</f>
        <v>44990</v>
      </c>
      <c r="H439" s="25">
        <f>MAX(
    (MONTH(B439)=11)*0.15,
    (MONTH(B439)=3)*0.1,
    (OR(C439="Т-003",C439="Т-009",C439="Т-018"))*0.12,
    (F439&gt;=3)*0.08,
    (VLOOKUP(C439,ТаблицаТовары[[ID товара]:[Категория]],3,FALSE)="Одежда")*0.1,
    0
)</f>
        <v>0.15</v>
      </c>
      <c r="I439" s="19">
        <f t="shared" si="12"/>
        <v>38241.5</v>
      </c>
      <c r="J439" s="19">
        <f>F439*((G439*(1-H439)) - _xlfn.XLOOKUP(C439,ТаблицаТовары[ID товара],ТаблицаТовары[Себестоимость],0))</f>
        <v>5741.5</v>
      </c>
      <c r="K439" s="27">
        <f t="shared" si="13"/>
        <v>0.15013793914987644</v>
      </c>
    </row>
    <row r="440" spans="1:11" x14ac:dyDescent="0.25">
      <c r="A440" s="22" t="s">
        <v>505</v>
      </c>
      <c r="B440" s="15">
        <v>45616</v>
      </c>
      <c r="C440" s="22" t="s">
        <v>32</v>
      </c>
      <c r="D440" s="31" t="str">
        <f>_xlfn.XLOOKUP(C440, ТаблицаТовары[ID товара], ТаблицаТовары[Название])</f>
        <v>Рюкзак туристический</v>
      </c>
      <c r="E440" s="17" t="str">
        <f>_xlfn.XLOOKUP(C440,ТаблицаТовары[ID товара],ТаблицаТовары[Категория])</f>
        <v>Аксессуары</v>
      </c>
      <c r="F440" s="29">
        <v>3</v>
      </c>
      <c r="G440" s="19">
        <f>_xlfn.XLOOKUP(C440, ТаблицаТовары[ID товара], ТаблицаТовары[Цена], "Цена не найдена")</f>
        <v>3490</v>
      </c>
      <c r="H440" s="25">
        <f>MAX(
    (MONTH(B440)=11)*0.15,
    (MONTH(B440)=3)*0.1,
    (OR(C440="Т-003",C440="Т-009",C440="Т-018"))*0.12,
    (F440&gt;=3)*0.08,
    (VLOOKUP(C440,ТаблицаТовары[[ID товара]:[Категория]],3,FALSE)="Одежда")*0.1,
    0
)</f>
        <v>0.15</v>
      </c>
      <c r="I440" s="19">
        <f t="shared" si="12"/>
        <v>8899.5</v>
      </c>
      <c r="J440" s="19">
        <f>F440*((G440*(1-H440)) - _xlfn.XLOOKUP(C440,ТаблицаТовары[ID товара],ТаблицаТовары[Себестоимость],0))</f>
        <v>3499.5</v>
      </c>
      <c r="K440" s="27">
        <f t="shared" si="13"/>
        <v>0.39322433844598009</v>
      </c>
    </row>
    <row r="441" spans="1:11" x14ac:dyDescent="0.25">
      <c r="A441" s="22" t="s">
        <v>506</v>
      </c>
      <c r="B441" s="15">
        <v>45434</v>
      </c>
      <c r="C441" s="22" t="s">
        <v>22</v>
      </c>
      <c r="D441" s="31" t="str">
        <f>_xlfn.XLOOKUP(C441, ТаблицаТовары[ID товара], ТаблицаТовары[Название])</f>
        <v>Ноутбук Lenovo IdeaPad</v>
      </c>
      <c r="E441" s="17" t="str">
        <f>_xlfn.XLOOKUP(C441,ТаблицаТовары[ID товара],ТаблицаТовары[Категория])</f>
        <v>Электроника</v>
      </c>
      <c r="F441" s="29">
        <v>1</v>
      </c>
      <c r="G441" s="19">
        <f>_xlfn.XLOOKUP(C441, ТаблицаТовары[ID товара], ТаблицаТовары[Цена], "Цена не найдена")</f>
        <v>64990</v>
      </c>
      <c r="H441" s="25">
        <f>MAX(
    (MONTH(B441)=11)*0.15,
    (MONTH(B441)=3)*0.1,
    (OR(C441="Т-003",C441="Т-009",C441="Т-018"))*0.12,
    (F441&gt;=3)*0.08,
    (VLOOKUP(C441,ТаблицаТовары[[ID товара]:[Категория]],3,FALSE)="Одежда")*0.1,
    0
)</f>
        <v>0</v>
      </c>
      <c r="I441" s="19">
        <f t="shared" si="12"/>
        <v>64990</v>
      </c>
      <c r="J441" s="19">
        <f>F441*((G441*(1-H441)) - _xlfn.XLOOKUP(C441,ТаблицаТовары[ID товара],ТаблицаТовары[Себестоимость],0))</f>
        <v>17190</v>
      </c>
      <c r="K441" s="27">
        <f t="shared" si="13"/>
        <v>0.26450223111247884</v>
      </c>
    </row>
    <row r="442" spans="1:11" x14ac:dyDescent="0.25">
      <c r="A442" s="22" t="s">
        <v>507</v>
      </c>
      <c r="B442" s="15">
        <v>45515</v>
      </c>
      <c r="C442" s="22" t="s">
        <v>5</v>
      </c>
      <c r="D442" s="31" t="str">
        <f>_xlfn.XLOOKUP(C442, ТаблицаТовары[ID товара], ТаблицаТовары[Название])</f>
        <v>Смартфон Galaxy A54</v>
      </c>
      <c r="E442" s="17" t="str">
        <f>_xlfn.XLOOKUP(C442,ТаблицаТовары[ID товара],ТаблицаТовары[Категория])</f>
        <v>Электроника</v>
      </c>
      <c r="F442" s="29">
        <v>1</v>
      </c>
      <c r="G442" s="19">
        <f>_xlfn.XLOOKUP(C442, ТаблицаТовары[ID товара], ТаблицаТовары[Цена], "Цена не найдена")</f>
        <v>29990</v>
      </c>
      <c r="H442" s="25">
        <f>MAX(
    (MONTH(B442)=11)*0.15,
    (MONTH(B442)=3)*0.1,
    (OR(C442="Т-003",C442="Т-009",C442="Т-018"))*0.12,
    (F442&gt;=3)*0.08,
    (VLOOKUP(C442,ТаблицаТовары[[ID товара]:[Категория]],3,FALSE)="Одежда")*0.1,
    0
)</f>
        <v>0</v>
      </c>
      <c r="I442" s="19">
        <f t="shared" si="12"/>
        <v>29990</v>
      </c>
      <c r="J442" s="19">
        <f>F442*((G442*(1-H442)) - _xlfn.XLOOKUP(C442,ТаблицаТовары[ID товара],ТаблицаТовары[Себестоимость],0))</f>
        <v>8490</v>
      </c>
      <c r="K442" s="27">
        <f t="shared" si="13"/>
        <v>0.28309436478826278</v>
      </c>
    </row>
    <row r="443" spans="1:11" x14ac:dyDescent="0.25">
      <c r="A443" s="22" t="s">
        <v>508</v>
      </c>
      <c r="B443" s="15">
        <v>45576</v>
      </c>
      <c r="C443" s="22" t="s">
        <v>35</v>
      </c>
      <c r="D443" s="31" t="str">
        <f>_xlfn.XLOOKUP(C443, ТаблицаТовары[ID товара], ТаблицаТовары[Название])</f>
        <v>Умные часы Apple Watch</v>
      </c>
      <c r="E443" s="17" t="str">
        <f>_xlfn.XLOOKUP(C443,ТаблицаТовары[ID товара],ТаблицаТовары[Категория])</f>
        <v>Электроника</v>
      </c>
      <c r="F443" s="29">
        <v>3</v>
      </c>
      <c r="G443" s="19">
        <f>_xlfn.XLOOKUP(C443, ТаблицаТовары[ID товара], ТаблицаТовары[Цена], "Цена не найдена")</f>
        <v>39990</v>
      </c>
      <c r="H443" s="25">
        <f>MAX(
    (MONTH(B443)=11)*0.15,
    (MONTH(B443)=3)*0.1,
    (OR(C443="Т-003",C443="Т-009",C443="Т-018"))*0.12,
    (F443&gt;=3)*0.08,
    (VLOOKUP(C443,ТаблицаТовары[[ID товара]:[Категория]],3,FALSE)="Одежда")*0.1,
    0
)</f>
        <v>0.08</v>
      </c>
      <c r="I443" s="19">
        <f t="shared" si="12"/>
        <v>110372.40000000001</v>
      </c>
      <c r="J443" s="19">
        <f>F443*((G443*(1-H443)) - _xlfn.XLOOKUP(C443,ТаблицаТовары[ID товара],ТаблицаТовары[Себестоимость],0))</f>
        <v>24872.400000000009</v>
      </c>
      <c r="K443" s="27">
        <f t="shared" si="13"/>
        <v>0.22534981571479831</v>
      </c>
    </row>
    <row r="444" spans="1:11" x14ac:dyDescent="0.25">
      <c r="A444" s="22" t="s">
        <v>509</v>
      </c>
      <c r="B444" s="15">
        <v>45369</v>
      </c>
      <c r="C444" s="22" t="s">
        <v>46</v>
      </c>
      <c r="D444" s="31" t="str">
        <f>_xlfn.XLOOKUP(C444, ТаблицаТовары[ID товара], ТаблицаТовары[Название])</f>
        <v>Сумка кожаная женская</v>
      </c>
      <c r="E444" s="17" t="str">
        <f>_xlfn.XLOOKUP(C444,ТаблицаТовары[ID товара],ТаблицаТовары[Категория])</f>
        <v>Аксессуары</v>
      </c>
      <c r="F444" s="29">
        <v>2</v>
      </c>
      <c r="G444" s="19">
        <f>_xlfn.XLOOKUP(C444, ТаблицаТовары[ID товара], ТаблицаТовары[Цена], "Цена не найдена")</f>
        <v>7590</v>
      </c>
      <c r="H444" s="25">
        <f>MAX(
    (MONTH(B444)=11)*0.15,
    (MONTH(B444)=3)*0.1,
    (OR(C444="Т-003",C444="Т-009",C444="Т-018"))*0.12,
    (F444&gt;=3)*0.08,
    (VLOOKUP(C444,ТаблицаТовары[[ID товара]:[Категория]],3,FALSE)="Одежда")*0.1,
    0
)</f>
        <v>0.12</v>
      </c>
      <c r="I444" s="19">
        <f t="shared" si="12"/>
        <v>13358.4</v>
      </c>
      <c r="J444" s="19">
        <f>F444*((G444*(1-H444)) - _xlfn.XLOOKUP(C444,ТаблицаТовары[ID товара],ТаблицаТовары[Себестоимость],0))</f>
        <v>4958.3999999999996</v>
      </c>
      <c r="K444" s="27">
        <f t="shared" si="13"/>
        <v>0.37118217750628818</v>
      </c>
    </row>
    <row r="445" spans="1:11" x14ac:dyDescent="0.25">
      <c r="A445" s="22" t="s">
        <v>510</v>
      </c>
      <c r="B445" s="15">
        <v>45450</v>
      </c>
      <c r="C445" s="22" t="s">
        <v>32</v>
      </c>
      <c r="D445" s="31" t="str">
        <f>_xlfn.XLOOKUP(C445, ТаблицаТовары[ID товара], ТаблицаТовары[Название])</f>
        <v>Рюкзак туристический</v>
      </c>
      <c r="E445" s="17" t="str">
        <f>_xlfn.XLOOKUP(C445,ТаблицаТовары[ID товара],ТаблицаТовары[Категория])</f>
        <v>Аксессуары</v>
      </c>
      <c r="F445" s="29">
        <v>3</v>
      </c>
      <c r="G445" s="19">
        <f>_xlfn.XLOOKUP(C445, ТаблицаТовары[ID товара], ТаблицаТовары[Цена], "Цена не найдена")</f>
        <v>3490</v>
      </c>
      <c r="H445" s="25">
        <f>MAX(
    (MONTH(B445)=11)*0.15,
    (MONTH(B445)=3)*0.1,
    (OR(C445="Т-003",C445="Т-009",C445="Т-018"))*0.12,
    (F445&gt;=3)*0.08,
    (VLOOKUP(C445,ТаблицаТовары[[ID товара]:[Категория]],3,FALSE)="Одежда")*0.1,
    0
)</f>
        <v>0.08</v>
      </c>
      <c r="I445" s="19">
        <f t="shared" si="12"/>
        <v>9632.4</v>
      </c>
      <c r="J445" s="19">
        <f>F445*((G445*(1-H445)) - _xlfn.XLOOKUP(C445,ТаблицаТовары[ID товара],ТаблицаТовары[Себестоимость],0))</f>
        <v>4232.4000000000005</v>
      </c>
      <c r="K445" s="27">
        <f t="shared" si="13"/>
        <v>0.43939205182509039</v>
      </c>
    </row>
    <row r="446" spans="1:11" x14ac:dyDescent="0.25">
      <c r="A446" s="22" t="s">
        <v>511</v>
      </c>
      <c r="B446" s="15">
        <v>45593</v>
      </c>
      <c r="C446" s="22" t="s">
        <v>10</v>
      </c>
      <c r="D446" s="31" t="str">
        <f>_xlfn.XLOOKUP(C446, ТаблицаТовары[ID товара], ТаблицаТовары[Название])</f>
        <v>Книга "Мастерство продаж"</v>
      </c>
      <c r="E446" s="17" t="str">
        <f>_xlfn.XLOOKUP(C446,ТаблицаТовары[ID товара],ТаблицаТовары[Категория])</f>
        <v>Книги</v>
      </c>
      <c r="F446" s="29">
        <v>2</v>
      </c>
      <c r="G446" s="19">
        <f>_xlfn.XLOOKUP(C446, ТаблицаТовары[ID товара], ТаблицаТовары[Цена], "Цена не найдена")</f>
        <v>890</v>
      </c>
      <c r="H446" s="25">
        <f>MAX(
    (MONTH(B446)=11)*0.15,
    (MONTH(B446)=3)*0.1,
    (OR(C446="Т-003",C446="Т-009",C446="Т-018"))*0.12,
    (F446&gt;=3)*0.08,
    (VLOOKUP(C446,ТаблицаТовары[[ID товара]:[Категория]],3,FALSE)="Одежда")*0.1,
    0
)</f>
        <v>0.12</v>
      </c>
      <c r="I446" s="19">
        <f t="shared" si="12"/>
        <v>1566.4</v>
      </c>
      <c r="J446" s="19">
        <f>F446*((G446*(1-H446)) - _xlfn.XLOOKUP(C446,ТаблицаТовары[ID товара],ТаблицаТовары[Себестоимость],0))</f>
        <v>666.40000000000009</v>
      </c>
      <c r="K446" s="27">
        <f t="shared" si="13"/>
        <v>0.42543411644535245</v>
      </c>
    </row>
    <row r="447" spans="1:11" x14ac:dyDescent="0.25">
      <c r="A447" s="22" t="s">
        <v>512</v>
      </c>
      <c r="B447" s="15">
        <v>45536</v>
      </c>
      <c r="C447" s="22" t="s">
        <v>19</v>
      </c>
      <c r="D447" s="31" t="str">
        <f>_xlfn.XLOOKUP(C447, ТаблицаТовары[ID товара], ТаблицаТовары[Название])</f>
        <v>Кроссовки Nike Air Max</v>
      </c>
      <c r="E447" s="17" t="str">
        <f>_xlfn.XLOOKUP(C447,ТаблицаТовары[ID товара],ТаблицаТовары[Категория])</f>
        <v>Обувь</v>
      </c>
      <c r="F447" s="29">
        <v>3</v>
      </c>
      <c r="G447" s="19">
        <f>_xlfn.XLOOKUP(C447, ТаблицаТовары[ID товара], ТаблицаТовары[Цена], "Цена не найдена")</f>
        <v>8990</v>
      </c>
      <c r="H447" s="25">
        <f>MAX(
    (MONTH(B447)=11)*0.15,
    (MONTH(B447)=3)*0.1,
    (OR(C447="Т-003",C447="Т-009",C447="Т-018"))*0.12,
    (F447&gt;=3)*0.08,
    (VLOOKUP(C447,ТаблицаТовары[[ID товара]:[Категория]],3,FALSE)="Одежда")*0.1,
    0
)</f>
        <v>0.08</v>
      </c>
      <c r="I447" s="19">
        <f t="shared" si="12"/>
        <v>24812.400000000001</v>
      </c>
      <c r="J447" s="19">
        <f>F447*((G447*(1-H447)) - _xlfn.XLOOKUP(C447,ТаблицаТовары[ID товара],ТаблицаТовары[Себестоимость],0))</f>
        <v>9212.4000000000033</v>
      </c>
      <c r="K447" s="27">
        <f t="shared" si="13"/>
        <v>0.37128210088504143</v>
      </c>
    </row>
    <row r="448" spans="1:11" x14ac:dyDescent="0.25">
      <c r="A448" s="22" t="s">
        <v>513</v>
      </c>
      <c r="B448" s="15">
        <v>45641</v>
      </c>
      <c r="C448" s="22" t="s">
        <v>22</v>
      </c>
      <c r="D448" s="31" t="str">
        <f>_xlfn.XLOOKUP(C448, ТаблицаТовары[ID товара], ТаблицаТовары[Название])</f>
        <v>Ноутбук Lenovo IdeaPad</v>
      </c>
      <c r="E448" s="17" t="str">
        <f>_xlfn.XLOOKUP(C448,ТаблицаТовары[ID товара],ТаблицаТовары[Категория])</f>
        <v>Электроника</v>
      </c>
      <c r="F448" s="29">
        <v>3</v>
      </c>
      <c r="G448" s="19">
        <f>_xlfn.XLOOKUP(C448, ТаблицаТовары[ID товара], ТаблицаТовары[Цена], "Цена не найдена")</f>
        <v>64990</v>
      </c>
      <c r="H448" s="25">
        <f>MAX(
    (MONTH(B448)=11)*0.15,
    (MONTH(B448)=3)*0.1,
    (OR(C448="Т-003",C448="Т-009",C448="Т-018"))*0.12,
    (F448&gt;=3)*0.08,
    (VLOOKUP(C448,ТаблицаТовары[[ID товара]:[Категория]],3,FALSE)="Одежда")*0.1,
    0
)</f>
        <v>0.08</v>
      </c>
      <c r="I448" s="19">
        <f t="shared" si="12"/>
        <v>179372.4</v>
      </c>
      <c r="J448" s="19">
        <f>F448*((G448*(1-H448)) - _xlfn.XLOOKUP(C448,ТаблицаТовары[ID товара],ТаблицаТовары[Себестоимость],0))</f>
        <v>35972.400000000009</v>
      </c>
      <c r="K448" s="27">
        <f t="shared" si="13"/>
        <v>0.20054590338312922</v>
      </c>
    </row>
    <row r="449" spans="1:11" x14ac:dyDescent="0.25">
      <c r="A449" s="22" t="s">
        <v>514</v>
      </c>
      <c r="B449" s="15">
        <v>45475</v>
      </c>
      <c r="C449" s="22" t="s">
        <v>28</v>
      </c>
      <c r="D449" s="31" t="str">
        <f>_xlfn.XLOOKUP(C449, ТаблицаТовары[ID товара], ТаблицаТовары[Название])</f>
        <v>Монитор 24" Samsung</v>
      </c>
      <c r="E449" s="17" t="str">
        <f>_xlfn.XLOOKUP(C449,ТаблицаТовары[ID товара],ТаблицаТовары[Категория])</f>
        <v>Электроника</v>
      </c>
      <c r="F449" s="29">
        <v>2</v>
      </c>
      <c r="G449" s="19">
        <f>_xlfn.XLOOKUP(C449, ТаблицаТовары[ID товара], ТаблицаТовары[Цена], "Цена не найдена")</f>
        <v>18990</v>
      </c>
      <c r="H449" s="25">
        <f>MAX(
    (MONTH(B449)=11)*0.15,
    (MONTH(B449)=3)*0.1,
    (OR(C449="Т-003",C449="Т-009",C449="Т-018"))*0.12,
    (F449&gt;=3)*0.08,
    (VLOOKUP(C449,ТаблицаТовары[[ID товара]:[Категория]],3,FALSE)="Одежда")*0.1,
    0
)</f>
        <v>0</v>
      </c>
      <c r="I449" s="19">
        <f t="shared" si="12"/>
        <v>37980</v>
      </c>
      <c r="J449" s="19">
        <f>F449*((G449*(1-H449)) - _xlfn.XLOOKUP(C449,ТаблицаТовары[ID товара],ТаблицаТовары[Себестоимость],0))</f>
        <v>11580</v>
      </c>
      <c r="K449" s="27">
        <f t="shared" si="13"/>
        <v>0.30489731437598738</v>
      </c>
    </row>
    <row r="450" spans="1:11" x14ac:dyDescent="0.25">
      <c r="A450" s="22" t="s">
        <v>515</v>
      </c>
      <c r="B450" s="15">
        <v>45619</v>
      </c>
      <c r="C450" s="22" t="s">
        <v>41</v>
      </c>
      <c r="D450" s="31" t="str">
        <f>_xlfn.XLOOKUP(C450, ТаблицаТовары[ID товара], ТаблицаТовары[Название])</f>
        <v>Планшет iPad 10.2"</v>
      </c>
      <c r="E450" s="17" t="str">
        <f>_xlfn.XLOOKUP(C450,ТаблицаТовары[ID товара],ТаблицаТовары[Категория])</f>
        <v>Электроника</v>
      </c>
      <c r="F450" s="29">
        <v>1</v>
      </c>
      <c r="G450" s="19">
        <f>_xlfn.XLOOKUP(C450, ТаблицаТовары[ID товара], ТаблицаТовары[Цена], "Цена не найдена")</f>
        <v>44990</v>
      </c>
      <c r="H450" s="25">
        <f>MAX(
    (MONTH(B450)=11)*0.15,
    (MONTH(B450)=3)*0.1,
    (OR(C450="Т-003",C450="Т-009",C450="Т-018"))*0.12,
    (F450&gt;=3)*0.08,
    (VLOOKUP(C450,ТаблицаТовары[[ID товара]:[Категория]],3,FALSE)="Одежда")*0.1,
    0
)</f>
        <v>0.15</v>
      </c>
      <c r="I450" s="19">
        <f t="shared" si="12"/>
        <v>38241.5</v>
      </c>
      <c r="J450" s="19">
        <f>F450*((G450*(1-H450)) - _xlfn.XLOOKUP(C450,ТаблицаТовары[ID товара],ТаблицаТовары[Себестоимость],0))</f>
        <v>5741.5</v>
      </c>
      <c r="K450" s="27">
        <f t="shared" si="13"/>
        <v>0.15013793914987644</v>
      </c>
    </row>
    <row r="451" spans="1:11" x14ac:dyDescent="0.25">
      <c r="A451" s="22" t="s">
        <v>516</v>
      </c>
      <c r="B451" s="15">
        <v>45347</v>
      </c>
      <c r="C451" s="22" t="s">
        <v>41</v>
      </c>
      <c r="D451" s="31" t="str">
        <f>_xlfn.XLOOKUP(C451, ТаблицаТовары[ID товара], ТаблицаТовары[Название])</f>
        <v>Планшет iPad 10.2"</v>
      </c>
      <c r="E451" s="17" t="str">
        <f>_xlfn.XLOOKUP(C451,ТаблицаТовары[ID товара],ТаблицаТовары[Категория])</f>
        <v>Электроника</v>
      </c>
      <c r="F451" s="29">
        <v>3</v>
      </c>
      <c r="G451" s="19">
        <f>_xlfn.XLOOKUP(C451, ТаблицаТовары[ID товара], ТаблицаТовары[Цена], "Цена не найдена")</f>
        <v>44990</v>
      </c>
      <c r="H451" s="25">
        <f>MAX(
    (MONTH(B451)=11)*0.15,
    (MONTH(B451)=3)*0.1,
    (OR(C451="Т-003",C451="Т-009",C451="Т-018"))*0.12,
    (F451&gt;=3)*0.08,
    (VLOOKUP(C451,ТаблицаТовары[[ID товара]:[Категория]],3,FALSE)="Одежда")*0.1,
    0
)</f>
        <v>0.08</v>
      </c>
      <c r="I451" s="19">
        <f t="shared" ref="I451:I501" si="14">F451*G451*(1-H451)</f>
        <v>124172.40000000001</v>
      </c>
      <c r="J451" s="19">
        <f>F451*((G451*(1-H451)) - _xlfn.XLOOKUP(C451,ТаблицаТовары[ID товара],ТаблицаТовары[Себестоимость],0))</f>
        <v>26672.400000000009</v>
      </c>
      <c r="K451" s="27">
        <f t="shared" ref="K451:K500" si="15">IFERROR(J451/I451, 0)</f>
        <v>0.21480135682325546</v>
      </c>
    </row>
    <row r="452" spans="1:11" x14ac:dyDescent="0.25">
      <c r="A452" s="22" t="s">
        <v>517</v>
      </c>
      <c r="B452" s="15">
        <v>45346</v>
      </c>
      <c r="C452" s="22" t="s">
        <v>37</v>
      </c>
      <c r="D452" s="31" t="str">
        <f>_xlfn.XLOOKUP(C452, ТаблицаТовары[ID товара], ТаблицаТовары[Название])</f>
        <v>Набор посуды 12 предметов</v>
      </c>
      <c r="E452" s="17" t="str">
        <f>_xlfn.XLOOKUP(C452,ТаблицаТовары[ID товара],ТаблицаТовары[Категория])</f>
        <v>Для дома</v>
      </c>
      <c r="F452" s="29">
        <v>2</v>
      </c>
      <c r="G452" s="19">
        <f>_xlfn.XLOOKUP(C452, ТаблицаТовары[ID товара], ТаблицаТовары[Цена], "Цена не найдена")</f>
        <v>14990</v>
      </c>
      <c r="H452" s="25">
        <f>MAX(
    (MONTH(B452)=11)*0.15,
    (MONTH(B452)=3)*0.1,
    (OR(C452="Т-003",C452="Т-009",C452="Т-018"))*0.12,
    (F452&gt;=3)*0.08,
    (VLOOKUP(C452,ТаблицаТовары[[ID товара]:[Категория]],3,FALSE)="Одежда")*0.1,
    0
)</f>
        <v>0</v>
      </c>
      <c r="I452" s="19">
        <f t="shared" si="14"/>
        <v>29980</v>
      </c>
      <c r="J452" s="19">
        <f>F452*((G452*(1-H452)) - _xlfn.XLOOKUP(C452,ТаблицаТовары[ID товара],ТаблицаТовары[Себестоимость],0))</f>
        <v>12780</v>
      </c>
      <c r="K452" s="27">
        <f t="shared" si="15"/>
        <v>0.42628418945963975</v>
      </c>
    </row>
    <row r="453" spans="1:11" x14ac:dyDescent="0.25">
      <c r="A453" s="22" t="s">
        <v>518</v>
      </c>
      <c r="B453" s="15">
        <v>45617</v>
      </c>
      <c r="C453" s="22" t="s">
        <v>39</v>
      </c>
      <c r="D453" s="31" t="str">
        <f>_xlfn.XLOOKUP(C453, ТаблицаТовары[ID товара], ТаблицаТовары[Название])</f>
        <v>Джинсы Levi's 501</v>
      </c>
      <c r="E453" s="17" t="str">
        <f>_xlfn.XLOOKUP(C453,ТаблицаТовары[ID товара],ТаблицаТовары[Категория])</f>
        <v>Одежда</v>
      </c>
      <c r="F453" s="29">
        <v>1</v>
      </c>
      <c r="G453" s="19">
        <f>_xlfn.XLOOKUP(C453, ТаблицаТовары[ID товара], ТаблицаТовары[Цена], "Цена не найдена")</f>
        <v>5990</v>
      </c>
      <c r="H453" s="25">
        <f>MAX(
    (MONTH(B453)=11)*0.15,
    (MONTH(B453)=3)*0.1,
    (OR(C453="Т-003",C453="Т-009",C453="Т-018"))*0.12,
    (F453&gt;=3)*0.08,
    (VLOOKUP(C453,ТаблицаТовары[[ID товара]:[Категория]],3,FALSE)="Одежда")*0.1,
    0
)</f>
        <v>0.15</v>
      </c>
      <c r="I453" s="19">
        <f t="shared" si="14"/>
        <v>5091.5</v>
      </c>
      <c r="J453" s="19">
        <f>F453*((G453*(1-H453)) - _xlfn.XLOOKUP(C453,ТаблицаТовары[ID товара],ТаблицаТовары[Себестоимость],0))</f>
        <v>2191.5</v>
      </c>
      <c r="K453" s="27">
        <f t="shared" si="15"/>
        <v>0.43042325444368063</v>
      </c>
    </row>
    <row r="454" spans="1:11" x14ac:dyDescent="0.25">
      <c r="A454" s="22" t="s">
        <v>519</v>
      </c>
      <c r="B454" s="15">
        <v>45448</v>
      </c>
      <c r="C454" s="22" t="s">
        <v>35</v>
      </c>
      <c r="D454" s="31" t="str">
        <f>_xlfn.XLOOKUP(C454, ТаблицаТовары[ID товара], ТаблицаТовары[Название])</f>
        <v>Умные часы Apple Watch</v>
      </c>
      <c r="E454" s="17" t="str">
        <f>_xlfn.XLOOKUP(C454,ТаблицаТовары[ID товара],ТаблицаТовары[Категория])</f>
        <v>Электроника</v>
      </c>
      <c r="F454" s="29">
        <v>3</v>
      </c>
      <c r="G454" s="19">
        <f>_xlfn.XLOOKUP(C454, ТаблицаТовары[ID товара], ТаблицаТовары[Цена], "Цена не найдена")</f>
        <v>39990</v>
      </c>
      <c r="H454" s="25">
        <f>MAX(
    (MONTH(B454)=11)*0.15,
    (MONTH(B454)=3)*0.1,
    (OR(C454="Т-003",C454="Т-009",C454="Т-018"))*0.12,
    (F454&gt;=3)*0.08,
    (VLOOKUP(C454,ТаблицаТовары[[ID товара]:[Категория]],3,FALSE)="Одежда")*0.1,
    0
)</f>
        <v>0.08</v>
      </c>
      <c r="I454" s="19">
        <f t="shared" si="14"/>
        <v>110372.40000000001</v>
      </c>
      <c r="J454" s="19">
        <f>F454*((G454*(1-H454)) - _xlfn.XLOOKUP(C454,ТаблицаТовары[ID товара],ТаблицаТовары[Себестоимость],0))</f>
        <v>24872.400000000009</v>
      </c>
      <c r="K454" s="27">
        <f t="shared" si="15"/>
        <v>0.22534981571479831</v>
      </c>
    </row>
    <row r="455" spans="1:11" x14ac:dyDescent="0.25">
      <c r="A455" s="22" t="s">
        <v>520</v>
      </c>
      <c r="B455" s="15">
        <v>45467</v>
      </c>
      <c r="C455" s="22" t="s">
        <v>10</v>
      </c>
      <c r="D455" s="31" t="str">
        <f>_xlfn.XLOOKUP(C455, ТаблицаТовары[ID товара], ТаблицаТовары[Название])</f>
        <v>Книга "Мастерство продаж"</v>
      </c>
      <c r="E455" s="17" t="str">
        <f>_xlfn.XLOOKUP(C455,ТаблицаТовары[ID товара],ТаблицаТовары[Категория])</f>
        <v>Книги</v>
      </c>
      <c r="F455" s="29">
        <v>3</v>
      </c>
      <c r="G455" s="19">
        <f>_xlfn.XLOOKUP(C455, ТаблицаТовары[ID товара], ТаблицаТовары[Цена], "Цена не найдена")</f>
        <v>890</v>
      </c>
      <c r="H455" s="25">
        <f>MAX(
    (MONTH(B455)=11)*0.15,
    (MONTH(B455)=3)*0.1,
    (OR(C455="Т-003",C455="Т-009",C455="Т-018"))*0.12,
    (F455&gt;=3)*0.08,
    (VLOOKUP(C455,ТаблицаТовары[[ID товара]:[Категория]],3,FALSE)="Одежда")*0.1,
    0
)</f>
        <v>0.12</v>
      </c>
      <c r="I455" s="19">
        <f t="shared" si="14"/>
        <v>2349.6</v>
      </c>
      <c r="J455" s="19">
        <f>F455*((G455*(1-H455)) - _xlfn.XLOOKUP(C455,ТаблицаТовары[ID товара],ТаблицаТовары[Себестоимость],0))</f>
        <v>999.60000000000014</v>
      </c>
      <c r="K455" s="27">
        <f t="shared" si="15"/>
        <v>0.42543411644535245</v>
      </c>
    </row>
    <row r="456" spans="1:11" x14ac:dyDescent="0.25">
      <c r="A456" s="22" t="s">
        <v>521</v>
      </c>
      <c r="B456" s="15">
        <v>45307</v>
      </c>
      <c r="C456" s="22" t="s">
        <v>39</v>
      </c>
      <c r="D456" s="31" t="str">
        <f>_xlfn.XLOOKUP(C456, ТаблицаТовары[ID товара], ТаблицаТовары[Название])</f>
        <v>Джинсы Levi's 501</v>
      </c>
      <c r="E456" s="17" t="str">
        <f>_xlfn.XLOOKUP(C456,ТаблицаТовары[ID товара],ТаблицаТовары[Категория])</f>
        <v>Одежда</v>
      </c>
      <c r="F456" s="29">
        <v>3</v>
      </c>
      <c r="G456" s="19">
        <f>_xlfn.XLOOKUP(C456, ТаблицаТовары[ID товара], ТаблицаТовары[Цена], "Цена не найдена")</f>
        <v>5990</v>
      </c>
      <c r="H456" s="25">
        <f>MAX(
    (MONTH(B456)=11)*0.15,
    (MONTH(B456)=3)*0.1,
    (OR(C456="Т-003",C456="Т-009",C456="Т-018"))*0.12,
    (F456&gt;=3)*0.08,
    (VLOOKUP(C456,ТаблицаТовары[[ID товара]:[Категория]],3,FALSE)="Одежда")*0.1,
    0
)</f>
        <v>0.1</v>
      </c>
      <c r="I456" s="19">
        <f t="shared" si="14"/>
        <v>16173</v>
      </c>
      <c r="J456" s="19">
        <f>F456*((G456*(1-H456)) - _xlfn.XLOOKUP(C456,ТаблицаТовары[ID товара],ТаблицаТовары[Себестоимость],0))</f>
        <v>7473</v>
      </c>
      <c r="K456" s="27">
        <f t="shared" si="15"/>
        <v>0.46206640697458728</v>
      </c>
    </row>
    <row r="457" spans="1:11" x14ac:dyDescent="0.25">
      <c r="A457" s="22" t="s">
        <v>522</v>
      </c>
      <c r="B457" s="15">
        <v>45292</v>
      </c>
      <c r="C457" s="22" t="s">
        <v>48</v>
      </c>
      <c r="D457" s="31" t="str">
        <f>_xlfn.XLOOKUP(C457, ТаблицаТовары[ID товара], ТаблицаТовары[Название])</f>
        <v>Микрофон для стримов</v>
      </c>
      <c r="E457" s="17" t="str">
        <f>_xlfn.XLOOKUP(C457,ТаблицаТовары[ID товара],ТаблицаТовары[Категория])</f>
        <v>Электроника</v>
      </c>
      <c r="F457" s="29">
        <v>1</v>
      </c>
      <c r="G457" s="19">
        <f>_xlfn.XLOOKUP(C457, ТаблицаТовары[ID товара], ТаблицаТовары[Цена], "Цена не найдена")</f>
        <v>12990</v>
      </c>
      <c r="H457" s="25">
        <f>MAX(
    (MONTH(B457)=11)*0.15,
    (MONTH(B457)=3)*0.1,
    (OR(C457="Т-003",C457="Т-009",C457="Т-018"))*0.12,
    (F457&gt;=3)*0.08,
    (VLOOKUP(C457,ТаблицаТовары[[ID товара]:[Категория]],3,FALSE)="Одежда")*0.1,
    0
)</f>
        <v>0</v>
      </c>
      <c r="I457" s="19">
        <f t="shared" si="14"/>
        <v>12990</v>
      </c>
      <c r="J457" s="19">
        <f>F457*((G457*(1-H457)) - _xlfn.XLOOKUP(C457,ТаблицаТовары[ID товара],ТаблицаТовары[Себестоимость],0))</f>
        <v>4090</v>
      </c>
      <c r="K457" s="27">
        <f t="shared" si="15"/>
        <v>0.31485758275596615</v>
      </c>
    </row>
    <row r="458" spans="1:11" x14ac:dyDescent="0.25">
      <c r="A458" s="22" t="s">
        <v>523</v>
      </c>
      <c r="B458" s="15">
        <v>45447</v>
      </c>
      <c r="C458" s="22" t="s">
        <v>5</v>
      </c>
      <c r="D458" s="31" t="str">
        <f>_xlfn.XLOOKUP(C458, ТаблицаТовары[ID товара], ТаблицаТовары[Название])</f>
        <v>Смартфон Galaxy A54</v>
      </c>
      <c r="E458" s="17" t="str">
        <f>_xlfn.XLOOKUP(C458,ТаблицаТовары[ID товара],ТаблицаТовары[Категория])</f>
        <v>Электроника</v>
      </c>
      <c r="F458" s="29">
        <v>2</v>
      </c>
      <c r="G458" s="19">
        <f>_xlfn.XLOOKUP(C458, ТаблицаТовары[ID товара], ТаблицаТовары[Цена], "Цена не найдена")</f>
        <v>29990</v>
      </c>
      <c r="H458" s="25">
        <f>MAX(
    (MONTH(B458)=11)*0.15,
    (MONTH(B458)=3)*0.1,
    (OR(C458="Т-003",C458="Т-009",C458="Т-018"))*0.12,
    (F458&gt;=3)*0.08,
    (VLOOKUP(C458,ТаблицаТовары[[ID товара]:[Категория]],3,FALSE)="Одежда")*0.1,
    0
)</f>
        <v>0</v>
      </c>
      <c r="I458" s="19">
        <f t="shared" si="14"/>
        <v>59980</v>
      </c>
      <c r="J458" s="19">
        <f>F458*((G458*(1-H458)) - _xlfn.XLOOKUP(C458,ТаблицаТовары[ID товара],ТаблицаТовары[Себестоимость],0))</f>
        <v>16980</v>
      </c>
      <c r="K458" s="27">
        <f t="shared" si="15"/>
        <v>0.28309436478826278</v>
      </c>
    </row>
    <row r="459" spans="1:11" x14ac:dyDescent="0.25">
      <c r="A459" s="22" t="s">
        <v>524</v>
      </c>
      <c r="B459" s="15">
        <v>45474</v>
      </c>
      <c r="C459" s="22" t="s">
        <v>37</v>
      </c>
      <c r="D459" s="31" t="str">
        <f>_xlfn.XLOOKUP(C459, ТаблицаТовары[ID товара], ТаблицаТовары[Название])</f>
        <v>Набор посуды 12 предметов</v>
      </c>
      <c r="E459" s="17" t="str">
        <f>_xlfn.XLOOKUP(C459,ТаблицаТовары[ID товара],ТаблицаТовары[Категория])</f>
        <v>Для дома</v>
      </c>
      <c r="F459" s="29">
        <v>3</v>
      </c>
      <c r="G459" s="19">
        <f>_xlfn.XLOOKUP(C459, ТаблицаТовары[ID товара], ТаблицаТовары[Цена], "Цена не найдена")</f>
        <v>14990</v>
      </c>
      <c r="H459" s="25">
        <f>MAX(
    (MONTH(B459)=11)*0.15,
    (MONTH(B459)=3)*0.1,
    (OR(C459="Т-003",C459="Т-009",C459="Т-018"))*0.12,
    (F459&gt;=3)*0.08,
    (VLOOKUP(C459,ТаблицаТовары[[ID товара]:[Категория]],3,FALSE)="Одежда")*0.1,
    0
)</f>
        <v>0.08</v>
      </c>
      <c r="I459" s="19">
        <f t="shared" si="14"/>
        <v>41372.400000000001</v>
      </c>
      <c r="J459" s="19">
        <f>F459*((G459*(1-H459)) - _xlfn.XLOOKUP(C459,ТаблицаТовары[ID товара],ТаблицаТовары[Себестоимость],0))</f>
        <v>15572.400000000003</v>
      </c>
      <c r="K459" s="27">
        <f t="shared" si="15"/>
        <v>0.37639585810830417</v>
      </c>
    </row>
    <row r="460" spans="1:11" x14ac:dyDescent="0.25">
      <c r="A460" s="22" t="s">
        <v>525</v>
      </c>
      <c r="B460" s="15">
        <v>45519</v>
      </c>
      <c r="C460" s="22" t="s">
        <v>48</v>
      </c>
      <c r="D460" s="31" t="str">
        <f>_xlfn.XLOOKUP(C460, ТаблицаТовары[ID товара], ТаблицаТовары[Название])</f>
        <v>Микрофон для стримов</v>
      </c>
      <c r="E460" s="17" t="str">
        <f>_xlfn.XLOOKUP(C460,ТаблицаТовары[ID товара],ТаблицаТовары[Категория])</f>
        <v>Электроника</v>
      </c>
      <c r="F460" s="29">
        <v>2</v>
      </c>
      <c r="G460" s="19">
        <f>_xlfn.XLOOKUP(C460, ТаблицаТовары[ID товара], ТаблицаТовары[Цена], "Цена не найдена")</f>
        <v>12990</v>
      </c>
      <c r="H460" s="25">
        <f>MAX(
    (MONTH(B460)=11)*0.15,
    (MONTH(B460)=3)*0.1,
    (OR(C460="Т-003",C460="Т-009",C460="Т-018"))*0.12,
    (F460&gt;=3)*0.08,
    (VLOOKUP(C460,ТаблицаТовары[[ID товара]:[Категория]],3,FALSE)="Одежда")*0.1,
    0
)</f>
        <v>0</v>
      </c>
      <c r="I460" s="19">
        <f t="shared" si="14"/>
        <v>25980</v>
      </c>
      <c r="J460" s="19">
        <f>F460*((G460*(1-H460)) - _xlfn.XLOOKUP(C460,ТаблицаТовары[ID товара],ТаблицаТовары[Себестоимость],0))</f>
        <v>8180</v>
      </c>
      <c r="K460" s="27">
        <f t="shared" si="15"/>
        <v>0.31485758275596615</v>
      </c>
    </row>
    <row r="461" spans="1:11" x14ac:dyDescent="0.25">
      <c r="A461" s="22" t="s">
        <v>526</v>
      </c>
      <c r="B461" s="15">
        <v>45417</v>
      </c>
      <c r="C461" s="22" t="s">
        <v>24</v>
      </c>
      <c r="D461" s="31" t="str">
        <f>_xlfn.XLOOKUP(C461, ТаблицаТовары[ID товара], ТаблицаТовары[Название])</f>
        <v>Чайник стеклянный</v>
      </c>
      <c r="E461" s="17" t="str">
        <f>_xlfn.XLOOKUP(C461,ТаблицаТовары[ID товара],ТаблицаТовары[Категория])</f>
        <v>Для дома</v>
      </c>
      <c r="F461" s="29">
        <v>2</v>
      </c>
      <c r="G461" s="19">
        <f>_xlfn.XLOOKUP(C461, ТаблицаТовары[ID товара], ТаблицаТовары[Цена], "Цена не найдена")</f>
        <v>2490</v>
      </c>
      <c r="H461" s="25">
        <f>MAX(
    (MONTH(B461)=11)*0.15,
    (MONTH(B461)=3)*0.1,
    (OR(C461="Т-003",C461="Т-009",C461="Т-018"))*0.12,
    (F461&gt;=3)*0.08,
    (VLOOKUP(C461,ТаблицаТовары[[ID товара]:[Категория]],3,FALSE)="Одежда")*0.1,
    0
)</f>
        <v>0</v>
      </c>
      <c r="I461" s="19">
        <f t="shared" si="14"/>
        <v>4980</v>
      </c>
      <c r="J461" s="19">
        <f>F461*((G461*(1-H461)) - _xlfn.XLOOKUP(C461,ТаблицаТовары[ID товара],ТаблицаТовары[Себестоимость],0))</f>
        <v>2580</v>
      </c>
      <c r="K461" s="27">
        <f t="shared" si="15"/>
        <v>0.51807228915662651</v>
      </c>
    </row>
    <row r="462" spans="1:11" x14ac:dyDescent="0.25">
      <c r="A462" s="22" t="s">
        <v>527</v>
      </c>
      <c r="B462" s="15">
        <v>45571</v>
      </c>
      <c r="C462" s="22" t="s">
        <v>32</v>
      </c>
      <c r="D462" s="31" t="str">
        <f>_xlfn.XLOOKUP(C462, ТаблицаТовары[ID товара], ТаблицаТовары[Название])</f>
        <v>Рюкзак туристический</v>
      </c>
      <c r="E462" s="17" t="str">
        <f>_xlfn.XLOOKUP(C462,ТаблицаТовары[ID товара],ТаблицаТовары[Категория])</f>
        <v>Аксессуары</v>
      </c>
      <c r="F462" s="29">
        <v>3</v>
      </c>
      <c r="G462" s="19">
        <f>_xlfn.XLOOKUP(C462, ТаблицаТовары[ID товара], ТаблицаТовары[Цена], "Цена не найдена")</f>
        <v>3490</v>
      </c>
      <c r="H462" s="25">
        <f>MAX(
    (MONTH(B462)=11)*0.15,
    (MONTH(B462)=3)*0.1,
    (OR(C462="Т-003",C462="Т-009",C462="Т-018"))*0.12,
    (F462&gt;=3)*0.08,
    (VLOOKUP(C462,ТаблицаТовары[[ID товара]:[Категория]],3,FALSE)="Одежда")*0.1,
    0
)</f>
        <v>0.08</v>
      </c>
      <c r="I462" s="19">
        <f t="shared" si="14"/>
        <v>9632.4</v>
      </c>
      <c r="J462" s="19">
        <f>F462*((G462*(1-H462)) - _xlfn.XLOOKUP(C462,ТаблицаТовары[ID товара],ТаблицаТовары[Себестоимость],0))</f>
        <v>4232.4000000000005</v>
      </c>
      <c r="K462" s="27">
        <f t="shared" si="15"/>
        <v>0.43939205182509039</v>
      </c>
    </row>
    <row r="463" spans="1:11" x14ac:dyDescent="0.25">
      <c r="A463" s="22" t="s">
        <v>528</v>
      </c>
      <c r="B463" s="15">
        <v>45402</v>
      </c>
      <c r="C463" s="22" t="s">
        <v>39</v>
      </c>
      <c r="D463" s="31" t="str">
        <f>_xlfn.XLOOKUP(C463, ТаблицаТовары[ID товара], ТаблицаТовары[Название])</f>
        <v>Джинсы Levi's 501</v>
      </c>
      <c r="E463" s="17" t="str">
        <f>_xlfn.XLOOKUP(C463,ТаблицаТовары[ID товара],ТаблицаТовары[Категория])</f>
        <v>Одежда</v>
      </c>
      <c r="F463" s="29">
        <v>1</v>
      </c>
      <c r="G463" s="19">
        <f>_xlfn.XLOOKUP(C463, ТаблицаТовары[ID товара], ТаблицаТовары[Цена], "Цена не найдена")</f>
        <v>5990</v>
      </c>
      <c r="H463" s="25">
        <f>MAX(
    (MONTH(B463)=11)*0.15,
    (MONTH(B463)=3)*0.1,
    (OR(C463="Т-003",C463="Т-009",C463="Т-018"))*0.12,
    (F463&gt;=3)*0.08,
    (VLOOKUP(C463,ТаблицаТовары[[ID товара]:[Категория]],3,FALSE)="Одежда")*0.1,
    0
)</f>
        <v>0.1</v>
      </c>
      <c r="I463" s="19">
        <f t="shared" si="14"/>
        <v>5391</v>
      </c>
      <c r="J463" s="19">
        <f>F463*((G463*(1-H463)) - _xlfn.XLOOKUP(C463,ТаблицаТовары[ID товара],ТаблицаТовары[Себестоимость],0))</f>
        <v>2491</v>
      </c>
      <c r="K463" s="27">
        <f t="shared" si="15"/>
        <v>0.46206640697458728</v>
      </c>
    </row>
    <row r="464" spans="1:11" x14ac:dyDescent="0.25">
      <c r="A464" s="22" t="s">
        <v>529</v>
      </c>
      <c r="B464" s="15">
        <v>45582</v>
      </c>
      <c r="C464" s="22" t="s">
        <v>10</v>
      </c>
      <c r="D464" s="31" t="str">
        <f>_xlfn.XLOOKUP(C464, ТаблицаТовары[ID товара], ТаблицаТовары[Название])</f>
        <v>Книга "Мастерство продаж"</v>
      </c>
      <c r="E464" s="17" t="str">
        <f>_xlfn.XLOOKUP(C464,ТаблицаТовары[ID товара],ТаблицаТовары[Категория])</f>
        <v>Книги</v>
      </c>
      <c r="F464" s="29">
        <v>1</v>
      </c>
      <c r="G464" s="19">
        <f>_xlfn.XLOOKUP(C464, ТаблицаТовары[ID товара], ТаблицаТовары[Цена], "Цена не найдена")</f>
        <v>890</v>
      </c>
      <c r="H464" s="25">
        <f>MAX(
    (MONTH(B464)=11)*0.15,
    (MONTH(B464)=3)*0.1,
    (OR(C464="Т-003",C464="Т-009",C464="Т-018"))*0.12,
    (F464&gt;=3)*0.08,
    (VLOOKUP(C464,ТаблицаТовары[[ID товара]:[Категория]],3,FALSE)="Одежда")*0.1,
    0
)</f>
        <v>0.12</v>
      </c>
      <c r="I464" s="19">
        <f t="shared" si="14"/>
        <v>783.2</v>
      </c>
      <c r="J464" s="19">
        <f>F464*((G464*(1-H464)) - _xlfn.XLOOKUP(C464,ТаблицаТовары[ID товара],ТаблицаТовары[Себестоимость],0))</f>
        <v>333.20000000000005</v>
      </c>
      <c r="K464" s="27">
        <f t="shared" si="15"/>
        <v>0.42543411644535245</v>
      </c>
    </row>
    <row r="465" spans="1:11" x14ac:dyDescent="0.25">
      <c r="A465" s="22" t="s">
        <v>530</v>
      </c>
      <c r="B465" s="15">
        <v>45543</v>
      </c>
      <c r="C465" s="22" t="s">
        <v>41</v>
      </c>
      <c r="D465" s="31" t="str">
        <f>_xlfn.XLOOKUP(C465, ТаблицаТовары[ID товара], ТаблицаТовары[Название])</f>
        <v>Планшет iPad 10.2"</v>
      </c>
      <c r="E465" s="17" t="str">
        <f>_xlfn.XLOOKUP(C465,ТаблицаТовары[ID товара],ТаблицаТовары[Категория])</f>
        <v>Электроника</v>
      </c>
      <c r="F465" s="29">
        <v>2</v>
      </c>
      <c r="G465" s="19">
        <f>_xlfn.XLOOKUP(C465, ТаблицаТовары[ID товара], ТаблицаТовары[Цена], "Цена не найдена")</f>
        <v>44990</v>
      </c>
      <c r="H465" s="25">
        <f>MAX(
    (MONTH(B465)=11)*0.15,
    (MONTH(B465)=3)*0.1,
    (OR(C465="Т-003",C465="Т-009",C465="Т-018"))*0.12,
    (F465&gt;=3)*0.08,
    (VLOOKUP(C465,ТаблицаТовары[[ID товара]:[Категория]],3,FALSE)="Одежда")*0.1,
    0
)</f>
        <v>0</v>
      </c>
      <c r="I465" s="19">
        <f t="shared" si="14"/>
        <v>89980</v>
      </c>
      <c r="J465" s="19">
        <f>F465*((G465*(1-H465)) - _xlfn.XLOOKUP(C465,ТаблицаТовары[ID товара],ТаблицаТовары[Себестоимость],0))</f>
        <v>24980</v>
      </c>
      <c r="K465" s="27">
        <f t="shared" si="15"/>
        <v>0.27761724827739498</v>
      </c>
    </row>
    <row r="466" spans="1:11" x14ac:dyDescent="0.25">
      <c r="A466" s="22" t="s">
        <v>531</v>
      </c>
      <c r="B466" s="15">
        <v>45350</v>
      </c>
      <c r="C466" s="22" t="s">
        <v>32</v>
      </c>
      <c r="D466" s="31" t="str">
        <f>_xlfn.XLOOKUP(C466, ТаблицаТовары[ID товара], ТаблицаТовары[Название])</f>
        <v>Рюкзак туристический</v>
      </c>
      <c r="E466" s="17" t="str">
        <f>_xlfn.XLOOKUP(C466,ТаблицаТовары[ID товара],ТаблицаТовары[Категория])</f>
        <v>Аксессуары</v>
      </c>
      <c r="F466" s="29">
        <v>1</v>
      </c>
      <c r="G466" s="19">
        <f>_xlfn.XLOOKUP(C466, ТаблицаТовары[ID товара], ТаблицаТовары[Цена], "Цена не найдена")</f>
        <v>3490</v>
      </c>
      <c r="H466" s="25">
        <f>MAX(
    (MONTH(B466)=11)*0.15,
    (MONTH(B466)=3)*0.1,
    (OR(C466="Т-003",C466="Т-009",C466="Т-018"))*0.12,
    (F466&gt;=3)*0.08,
    (VLOOKUP(C466,ТаблицаТовары[[ID товара]:[Категория]],3,FALSE)="Одежда")*0.1,
    0
)</f>
        <v>0</v>
      </c>
      <c r="I466" s="19">
        <f t="shared" si="14"/>
        <v>3490</v>
      </c>
      <c r="J466" s="19">
        <f>F466*((G466*(1-H466)) - _xlfn.XLOOKUP(C466,ТаблицаТовары[ID товара],ТаблицаТовары[Себестоимость],0))</f>
        <v>1690</v>
      </c>
      <c r="K466" s="27">
        <f t="shared" si="15"/>
        <v>0.48424068767908307</v>
      </c>
    </row>
    <row r="467" spans="1:11" x14ac:dyDescent="0.25">
      <c r="A467" s="22" t="s">
        <v>532</v>
      </c>
      <c r="B467" s="15">
        <v>45301</v>
      </c>
      <c r="C467" s="22" t="s">
        <v>5</v>
      </c>
      <c r="D467" s="31" t="str">
        <f>_xlfn.XLOOKUP(C467, ТаблицаТовары[ID товара], ТаблицаТовары[Название])</f>
        <v>Смартфон Galaxy A54</v>
      </c>
      <c r="E467" s="17" t="str">
        <f>_xlfn.XLOOKUP(C467,ТаблицаТовары[ID товара],ТаблицаТовары[Категория])</f>
        <v>Электроника</v>
      </c>
      <c r="F467" s="29">
        <v>2</v>
      </c>
      <c r="G467" s="19">
        <f>_xlfn.XLOOKUP(C467, ТаблицаТовары[ID товара], ТаблицаТовары[Цена], "Цена не найдена")</f>
        <v>29990</v>
      </c>
      <c r="H467" s="25">
        <f>MAX(
    (MONTH(B467)=11)*0.15,
    (MONTH(B467)=3)*0.1,
    (OR(C467="Т-003",C467="Т-009",C467="Т-018"))*0.12,
    (F467&gt;=3)*0.08,
    (VLOOKUP(C467,ТаблицаТовары[[ID товара]:[Категория]],3,FALSE)="Одежда")*0.1,
    0
)</f>
        <v>0</v>
      </c>
      <c r="I467" s="19">
        <f t="shared" si="14"/>
        <v>59980</v>
      </c>
      <c r="J467" s="19">
        <f>F467*((G467*(1-H467)) - _xlfn.XLOOKUP(C467,ТаблицаТовары[ID товара],ТаблицаТовары[Себестоимость],0))</f>
        <v>16980</v>
      </c>
      <c r="K467" s="27">
        <f t="shared" si="15"/>
        <v>0.28309436478826278</v>
      </c>
    </row>
    <row r="468" spans="1:11" x14ac:dyDescent="0.25">
      <c r="A468" s="22" t="s">
        <v>533</v>
      </c>
      <c r="B468" s="15">
        <v>45654</v>
      </c>
      <c r="C468" s="22" t="s">
        <v>10</v>
      </c>
      <c r="D468" s="31" t="str">
        <f>_xlfn.XLOOKUP(C468, ТаблицаТовары[ID товара], ТаблицаТовары[Название])</f>
        <v>Книга "Мастерство продаж"</v>
      </c>
      <c r="E468" s="17" t="str">
        <f>_xlfn.XLOOKUP(C468,ТаблицаТовары[ID товара],ТаблицаТовары[Категория])</f>
        <v>Книги</v>
      </c>
      <c r="F468" s="29">
        <v>1</v>
      </c>
      <c r="G468" s="19">
        <f>_xlfn.XLOOKUP(C468, ТаблицаТовары[ID товара], ТаблицаТовары[Цена], "Цена не найдена")</f>
        <v>890</v>
      </c>
      <c r="H468" s="25">
        <f>MAX(
    (MONTH(B468)=11)*0.15,
    (MONTH(B468)=3)*0.1,
    (OR(C468="Т-003",C468="Т-009",C468="Т-018"))*0.12,
    (F468&gt;=3)*0.08,
    (VLOOKUP(C468,ТаблицаТовары[[ID товара]:[Категория]],3,FALSE)="Одежда")*0.1,
    0
)</f>
        <v>0.12</v>
      </c>
      <c r="I468" s="19">
        <f t="shared" si="14"/>
        <v>783.2</v>
      </c>
      <c r="J468" s="19">
        <f>F468*((G468*(1-H468)) - _xlfn.XLOOKUP(C468,ТаблицаТовары[ID товара],ТаблицаТовары[Себестоимость],0))</f>
        <v>333.20000000000005</v>
      </c>
      <c r="K468" s="27">
        <f t="shared" si="15"/>
        <v>0.42543411644535245</v>
      </c>
    </row>
    <row r="469" spans="1:11" x14ac:dyDescent="0.25">
      <c r="A469" s="22" t="s">
        <v>534</v>
      </c>
      <c r="B469" s="15">
        <v>45614</v>
      </c>
      <c r="C469" s="22" t="s">
        <v>8</v>
      </c>
      <c r="D469" s="31" t="str">
        <f>_xlfn.XLOOKUP(C469, ТаблицаТовары[ID товара], ТаблицаТовары[Название])</f>
        <v>Наушники Sony WH-1000XM5</v>
      </c>
      <c r="E469" s="17" t="str">
        <f>_xlfn.XLOOKUP(C469,ТаблицаТовары[ID товара],ТаблицаТовары[Категория])</f>
        <v>Электроника</v>
      </c>
      <c r="F469" s="29">
        <v>1</v>
      </c>
      <c r="G469" s="19">
        <f>_xlfn.XLOOKUP(C469, ТаблицаТовары[ID товара], ТаблицаТовары[Цена], "Цена не найдена")</f>
        <v>26990</v>
      </c>
      <c r="H469" s="25">
        <f>MAX(
    (MONTH(B469)=11)*0.15,
    (MONTH(B469)=3)*0.1,
    (OR(C469="Т-003",C469="Т-009",C469="Т-018"))*0.12,
    (F469&gt;=3)*0.08,
    (VLOOKUP(C469,ТаблицаТовары[[ID товара]:[Категория]],3,FALSE)="Одежда")*0.1,
    0
)</f>
        <v>0.15</v>
      </c>
      <c r="I469" s="19">
        <f t="shared" si="14"/>
        <v>22941.5</v>
      </c>
      <c r="J469" s="19">
        <f>F469*((G469*(1-H469)) - _xlfn.XLOOKUP(C469,ТаблицаТовары[ID товара],ТаблицаТовары[Себестоимость],0))</f>
        <v>4041.5</v>
      </c>
      <c r="K469" s="27">
        <f t="shared" si="15"/>
        <v>0.1761654643331953</v>
      </c>
    </row>
    <row r="470" spans="1:11" x14ac:dyDescent="0.25">
      <c r="A470" s="22" t="s">
        <v>535</v>
      </c>
      <c r="B470" s="15">
        <v>45415</v>
      </c>
      <c r="C470" s="22" t="s">
        <v>41</v>
      </c>
      <c r="D470" s="31" t="str">
        <f>_xlfn.XLOOKUP(C470, ТаблицаТовары[ID товара], ТаблицаТовары[Название])</f>
        <v>Планшет iPad 10.2"</v>
      </c>
      <c r="E470" s="17" t="str">
        <f>_xlfn.XLOOKUP(C470,ТаблицаТовары[ID товара],ТаблицаТовары[Категория])</f>
        <v>Электроника</v>
      </c>
      <c r="F470" s="29">
        <v>3</v>
      </c>
      <c r="G470" s="19">
        <f>_xlfn.XLOOKUP(C470, ТаблицаТовары[ID товара], ТаблицаТовары[Цена], "Цена не найдена")</f>
        <v>44990</v>
      </c>
      <c r="H470" s="25">
        <f>MAX(
    (MONTH(B470)=11)*0.15,
    (MONTH(B470)=3)*0.1,
    (OR(C470="Т-003",C470="Т-009",C470="Т-018"))*0.12,
    (F470&gt;=3)*0.08,
    (VLOOKUP(C470,ТаблицаТовары[[ID товара]:[Категория]],3,FALSE)="Одежда")*0.1,
    0
)</f>
        <v>0.08</v>
      </c>
      <c r="I470" s="19">
        <f t="shared" si="14"/>
        <v>124172.40000000001</v>
      </c>
      <c r="J470" s="19">
        <f>F470*((G470*(1-H470)) - _xlfn.XLOOKUP(C470,ТаблицаТовары[ID товара],ТаблицаТовары[Себестоимость],0))</f>
        <v>26672.400000000009</v>
      </c>
      <c r="K470" s="27">
        <f t="shared" si="15"/>
        <v>0.21480135682325546</v>
      </c>
    </row>
    <row r="471" spans="1:11" x14ac:dyDescent="0.25">
      <c r="A471" s="22" t="s">
        <v>536</v>
      </c>
      <c r="B471" s="15">
        <v>45578</v>
      </c>
      <c r="C471" s="22" t="s">
        <v>10</v>
      </c>
      <c r="D471" s="31" t="str">
        <f>_xlfn.XLOOKUP(C471, ТаблицаТовары[ID товара], ТаблицаТовары[Название])</f>
        <v>Книга "Мастерство продаж"</v>
      </c>
      <c r="E471" s="17" t="str">
        <f>_xlfn.XLOOKUP(C471,ТаблицаТовары[ID товара],ТаблицаТовары[Категория])</f>
        <v>Книги</v>
      </c>
      <c r="F471" s="29">
        <v>1</v>
      </c>
      <c r="G471" s="19">
        <f>_xlfn.XLOOKUP(C471, ТаблицаТовары[ID товара], ТаблицаТовары[Цена], "Цена не найдена")</f>
        <v>890</v>
      </c>
      <c r="H471" s="25">
        <f>MAX(
    (MONTH(B471)=11)*0.15,
    (MONTH(B471)=3)*0.1,
    (OR(C471="Т-003",C471="Т-009",C471="Т-018"))*0.12,
    (F471&gt;=3)*0.08,
    (VLOOKUP(C471,ТаблицаТовары[[ID товара]:[Категория]],3,FALSE)="Одежда")*0.1,
    0
)</f>
        <v>0.12</v>
      </c>
      <c r="I471" s="19">
        <f t="shared" si="14"/>
        <v>783.2</v>
      </c>
      <c r="J471" s="19">
        <f>F471*((G471*(1-H471)) - _xlfn.XLOOKUP(C471,ТаблицаТовары[ID товара],ТаблицаТовары[Себестоимость],0))</f>
        <v>333.20000000000005</v>
      </c>
      <c r="K471" s="27">
        <f t="shared" si="15"/>
        <v>0.42543411644535245</v>
      </c>
    </row>
    <row r="472" spans="1:11" x14ac:dyDescent="0.25">
      <c r="A472" s="22" t="s">
        <v>537</v>
      </c>
      <c r="B472" s="15">
        <v>45652</v>
      </c>
      <c r="C472" s="22" t="s">
        <v>22</v>
      </c>
      <c r="D472" s="31" t="str">
        <f>_xlfn.XLOOKUP(C472, ТаблицаТовары[ID товара], ТаблицаТовары[Название])</f>
        <v>Ноутбук Lenovo IdeaPad</v>
      </c>
      <c r="E472" s="17" t="str">
        <f>_xlfn.XLOOKUP(C472,ТаблицаТовары[ID товара],ТаблицаТовары[Категория])</f>
        <v>Электроника</v>
      </c>
      <c r="F472" s="29">
        <v>2</v>
      </c>
      <c r="G472" s="19">
        <f>_xlfn.XLOOKUP(C472, ТаблицаТовары[ID товара], ТаблицаТовары[Цена], "Цена не найдена")</f>
        <v>64990</v>
      </c>
      <c r="H472" s="25">
        <f>MAX(
    (MONTH(B472)=11)*0.15,
    (MONTH(B472)=3)*0.1,
    (OR(C472="Т-003",C472="Т-009",C472="Т-018"))*0.12,
    (F472&gt;=3)*0.08,
    (VLOOKUP(C472,ТаблицаТовары[[ID товара]:[Категория]],3,FALSE)="Одежда")*0.1,
    0
)</f>
        <v>0</v>
      </c>
      <c r="I472" s="19">
        <f t="shared" si="14"/>
        <v>129980</v>
      </c>
      <c r="J472" s="19">
        <f>F472*((G472*(1-H472)) - _xlfn.XLOOKUP(C472,ТаблицаТовары[ID товара],ТаблицаТовары[Себестоимость],0))</f>
        <v>34380</v>
      </c>
      <c r="K472" s="27">
        <f t="shared" si="15"/>
        <v>0.26450223111247884</v>
      </c>
    </row>
    <row r="473" spans="1:11" x14ac:dyDescent="0.25">
      <c r="A473" s="22" t="s">
        <v>538</v>
      </c>
      <c r="B473" s="15">
        <v>45381</v>
      </c>
      <c r="C473" s="22" t="s">
        <v>26</v>
      </c>
      <c r="D473" s="31" t="str">
        <f>_xlfn.XLOOKUP(C473, ТаблицаТовары[ID товара], ТаблицаТовары[Название])</f>
        <v>Футболка хлопковая</v>
      </c>
      <c r="E473" s="17" t="str">
        <f>_xlfn.XLOOKUP(C473,ТаблицаТовары[ID товара],ТаблицаТовары[Категория])</f>
        <v>Одежда</v>
      </c>
      <c r="F473" s="29">
        <v>1</v>
      </c>
      <c r="G473" s="19">
        <f>_xlfn.XLOOKUP(C473, ТаблицаТовары[ID товара], ТаблицаТовары[Цена], "Цена не найдена")</f>
        <v>990</v>
      </c>
      <c r="H473" s="25">
        <f>MAX(
    (MONTH(B473)=11)*0.15,
    (MONTH(B473)=3)*0.1,
    (OR(C473="Т-003",C473="Т-009",C473="Т-018"))*0.12,
    (F473&gt;=3)*0.08,
    (VLOOKUP(C473,ТаблицаТовары[[ID товара]:[Категория]],3,FALSE)="Одежда")*0.1,
    0
)</f>
        <v>0.12</v>
      </c>
      <c r="I473" s="19">
        <f t="shared" si="14"/>
        <v>871.2</v>
      </c>
      <c r="J473" s="19">
        <f>F473*((G473*(1-H473)) - _xlfn.XLOOKUP(C473,ТаблицаТовары[ID товара],ТаблицаТовары[Себестоимость],0))</f>
        <v>521.20000000000005</v>
      </c>
      <c r="K473" s="27">
        <f t="shared" si="15"/>
        <v>0.59825528007346196</v>
      </c>
    </row>
    <row r="474" spans="1:11" x14ac:dyDescent="0.25">
      <c r="A474" s="22" t="s">
        <v>539</v>
      </c>
      <c r="B474" s="15">
        <v>45537</v>
      </c>
      <c r="C474" s="22" t="s">
        <v>10</v>
      </c>
      <c r="D474" s="31" t="str">
        <f>_xlfn.XLOOKUP(C474, ТаблицаТовары[ID товара], ТаблицаТовары[Название])</f>
        <v>Книга "Мастерство продаж"</v>
      </c>
      <c r="E474" s="17" t="str">
        <f>_xlfn.XLOOKUP(C474,ТаблицаТовары[ID товара],ТаблицаТовары[Категория])</f>
        <v>Книги</v>
      </c>
      <c r="F474" s="29">
        <v>1</v>
      </c>
      <c r="G474" s="19">
        <f>_xlfn.XLOOKUP(C474, ТаблицаТовары[ID товара], ТаблицаТовары[Цена], "Цена не найдена")</f>
        <v>890</v>
      </c>
      <c r="H474" s="25">
        <f>MAX(
    (MONTH(B474)=11)*0.15,
    (MONTH(B474)=3)*0.1,
    (OR(C474="Т-003",C474="Т-009",C474="Т-018"))*0.12,
    (F474&gt;=3)*0.08,
    (VLOOKUP(C474,ТаблицаТовары[[ID товара]:[Категория]],3,FALSE)="Одежда")*0.1,
    0
)</f>
        <v>0.12</v>
      </c>
      <c r="I474" s="19">
        <f t="shared" si="14"/>
        <v>783.2</v>
      </c>
      <c r="J474" s="19">
        <f>F474*((G474*(1-H474)) - _xlfn.XLOOKUP(C474,ТаблицаТовары[ID товара],ТаблицаТовары[Себестоимость],0))</f>
        <v>333.20000000000005</v>
      </c>
      <c r="K474" s="27">
        <f t="shared" si="15"/>
        <v>0.42543411644535245</v>
      </c>
    </row>
    <row r="475" spans="1:11" x14ac:dyDescent="0.25">
      <c r="A475" s="22" t="s">
        <v>540</v>
      </c>
      <c r="B475" s="15">
        <v>45592</v>
      </c>
      <c r="C475" s="22" t="s">
        <v>32</v>
      </c>
      <c r="D475" s="31" t="str">
        <f>_xlfn.XLOOKUP(C475, ТаблицаТовары[ID товара], ТаблицаТовары[Название])</f>
        <v>Рюкзак туристический</v>
      </c>
      <c r="E475" s="17" t="str">
        <f>_xlfn.XLOOKUP(C475,ТаблицаТовары[ID товара],ТаблицаТовары[Категория])</f>
        <v>Аксессуары</v>
      </c>
      <c r="F475" s="29">
        <v>2</v>
      </c>
      <c r="G475" s="19">
        <f>_xlfn.XLOOKUP(C475, ТаблицаТовары[ID товара], ТаблицаТовары[Цена], "Цена не найдена")</f>
        <v>3490</v>
      </c>
      <c r="H475" s="25">
        <f>MAX(
    (MONTH(B475)=11)*0.15,
    (MONTH(B475)=3)*0.1,
    (OR(C475="Т-003",C475="Т-009",C475="Т-018"))*0.12,
    (F475&gt;=3)*0.08,
    (VLOOKUP(C475,ТаблицаТовары[[ID товара]:[Категория]],3,FALSE)="Одежда")*0.1,
    0
)</f>
        <v>0</v>
      </c>
      <c r="I475" s="19">
        <f t="shared" si="14"/>
        <v>6980</v>
      </c>
      <c r="J475" s="19">
        <f>F475*((G475*(1-H475)) - _xlfn.XLOOKUP(C475,ТаблицаТовары[ID товара],ТаблицаТовары[Себестоимость],0))</f>
        <v>3380</v>
      </c>
      <c r="K475" s="27">
        <f t="shared" si="15"/>
        <v>0.48424068767908307</v>
      </c>
    </row>
    <row r="476" spans="1:11" x14ac:dyDescent="0.25">
      <c r="A476" s="22" t="s">
        <v>541</v>
      </c>
      <c r="B476" s="15">
        <v>45479</v>
      </c>
      <c r="C476" s="22" t="s">
        <v>37</v>
      </c>
      <c r="D476" s="31" t="str">
        <f>_xlfn.XLOOKUP(C476, ТаблицаТовары[ID товара], ТаблицаТовары[Название])</f>
        <v>Набор посуды 12 предметов</v>
      </c>
      <c r="E476" s="17" t="str">
        <f>_xlfn.XLOOKUP(C476,ТаблицаТовары[ID товара],ТаблицаТовары[Категория])</f>
        <v>Для дома</v>
      </c>
      <c r="F476" s="29">
        <v>1</v>
      </c>
      <c r="G476" s="19">
        <f>_xlfn.XLOOKUP(C476, ТаблицаТовары[ID товара], ТаблицаТовары[Цена], "Цена не найдена")</f>
        <v>14990</v>
      </c>
      <c r="H476" s="25">
        <f>MAX(
    (MONTH(B476)=11)*0.15,
    (MONTH(B476)=3)*0.1,
    (OR(C476="Т-003",C476="Т-009",C476="Т-018"))*0.12,
    (F476&gt;=3)*0.08,
    (VLOOKUP(C476,ТаблицаТовары[[ID товара]:[Категория]],3,FALSE)="Одежда")*0.1,
    0
)</f>
        <v>0</v>
      </c>
      <c r="I476" s="19">
        <f t="shared" si="14"/>
        <v>14990</v>
      </c>
      <c r="J476" s="19">
        <f>F476*((G476*(1-H476)) - _xlfn.XLOOKUP(C476,ТаблицаТовары[ID товара],ТаблицаТовары[Себестоимость],0))</f>
        <v>6390</v>
      </c>
      <c r="K476" s="27">
        <f t="shared" si="15"/>
        <v>0.42628418945963975</v>
      </c>
    </row>
    <row r="477" spans="1:11" x14ac:dyDescent="0.25">
      <c r="A477" s="22" t="s">
        <v>542</v>
      </c>
      <c r="B477" s="15">
        <v>45555</v>
      </c>
      <c r="C477" s="22" t="s">
        <v>28</v>
      </c>
      <c r="D477" s="31" t="str">
        <f>_xlfn.XLOOKUP(C477, ТаблицаТовары[ID товара], ТаблицаТовары[Название])</f>
        <v>Монитор 24" Samsung</v>
      </c>
      <c r="E477" s="17" t="str">
        <f>_xlfn.XLOOKUP(C477,ТаблицаТовары[ID товара],ТаблицаТовары[Категория])</f>
        <v>Электроника</v>
      </c>
      <c r="F477" s="29">
        <v>3</v>
      </c>
      <c r="G477" s="19">
        <f>_xlfn.XLOOKUP(C477, ТаблицаТовары[ID товара], ТаблицаТовары[Цена], "Цена не найдена")</f>
        <v>18990</v>
      </c>
      <c r="H477" s="25">
        <f>MAX(
    (MONTH(B477)=11)*0.15,
    (MONTH(B477)=3)*0.1,
    (OR(C477="Т-003",C477="Т-009",C477="Т-018"))*0.12,
    (F477&gt;=3)*0.08,
    (VLOOKUP(C477,ТаблицаТовары[[ID товара]:[Категория]],3,FALSE)="Одежда")*0.1,
    0
)</f>
        <v>0.08</v>
      </c>
      <c r="I477" s="19">
        <f t="shared" si="14"/>
        <v>52412.4</v>
      </c>
      <c r="J477" s="19">
        <f>F477*((G477*(1-H477)) - _xlfn.XLOOKUP(C477,ТаблицаТовары[ID товара],ТаблицаТовары[Себестоимость],0))</f>
        <v>12812.399999999998</v>
      </c>
      <c r="K477" s="27">
        <f t="shared" si="15"/>
        <v>0.24445360258259491</v>
      </c>
    </row>
    <row r="478" spans="1:11" x14ac:dyDescent="0.25">
      <c r="A478" s="22" t="s">
        <v>543</v>
      </c>
      <c r="B478" s="15">
        <v>45371</v>
      </c>
      <c r="C478" s="22" t="s">
        <v>5</v>
      </c>
      <c r="D478" s="31" t="str">
        <f>_xlfn.XLOOKUP(C478, ТаблицаТовары[ID товара], ТаблицаТовары[Название])</f>
        <v>Смартфон Galaxy A54</v>
      </c>
      <c r="E478" s="17" t="str">
        <f>_xlfn.XLOOKUP(C478,ТаблицаТовары[ID товара],ТаблицаТовары[Категория])</f>
        <v>Электроника</v>
      </c>
      <c r="F478" s="29">
        <v>1</v>
      </c>
      <c r="G478" s="19">
        <f>_xlfn.XLOOKUP(C478, ТаблицаТовары[ID товара], ТаблицаТовары[Цена], "Цена не найдена")</f>
        <v>29990</v>
      </c>
      <c r="H478" s="25">
        <f>MAX(
    (MONTH(B478)=11)*0.15,
    (MONTH(B478)=3)*0.1,
    (OR(C478="Т-003",C478="Т-009",C478="Т-018"))*0.12,
    (F478&gt;=3)*0.08,
    (VLOOKUP(C478,ТаблицаТовары[[ID товара]:[Категория]],3,FALSE)="Одежда")*0.1,
    0
)</f>
        <v>0.1</v>
      </c>
      <c r="I478" s="19">
        <f t="shared" si="14"/>
        <v>26991</v>
      </c>
      <c r="J478" s="19">
        <f>F478*((G478*(1-H478)) - _xlfn.XLOOKUP(C478,ТаблицаТовары[ID товара],ТаблицаТовары[Себестоимость],0))</f>
        <v>5491</v>
      </c>
      <c r="K478" s="27">
        <f t="shared" si="15"/>
        <v>0.20343818309806971</v>
      </c>
    </row>
    <row r="479" spans="1:11" x14ac:dyDescent="0.25">
      <c r="A479" s="22" t="s">
        <v>544</v>
      </c>
      <c r="B479" s="15">
        <v>45414</v>
      </c>
      <c r="C479" s="22" t="s">
        <v>39</v>
      </c>
      <c r="D479" s="31" t="str">
        <f>_xlfn.XLOOKUP(C479, ТаблицаТовары[ID товара], ТаблицаТовары[Название])</f>
        <v>Джинсы Levi's 501</v>
      </c>
      <c r="E479" s="17" t="str">
        <f>_xlfn.XLOOKUP(C479,ТаблицаТовары[ID товара],ТаблицаТовары[Категория])</f>
        <v>Одежда</v>
      </c>
      <c r="F479" s="29">
        <v>1</v>
      </c>
      <c r="G479" s="19">
        <f>_xlfn.XLOOKUP(C479, ТаблицаТовары[ID товара], ТаблицаТовары[Цена], "Цена не найдена")</f>
        <v>5990</v>
      </c>
      <c r="H479" s="25">
        <f>MAX(
    (MONTH(B479)=11)*0.15,
    (MONTH(B479)=3)*0.1,
    (OR(C479="Т-003",C479="Т-009",C479="Т-018"))*0.12,
    (F479&gt;=3)*0.08,
    (VLOOKUP(C479,ТаблицаТовары[[ID товара]:[Категория]],3,FALSE)="Одежда")*0.1,
    0
)</f>
        <v>0.1</v>
      </c>
      <c r="I479" s="19">
        <f t="shared" si="14"/>
        <v>5391</v>
      </c>
      <c r="J479" s="19">
        <f>F479*((G479*(1-H479)) - _xlfn.XLOOKUP(C479,ТаблицаТовары[ID товара],ТаблицаТовары[Себестоимость],0))</f>
        <v>2491</v>
      </c>
      <c r="K479" s="27">
        <f t="shared" si="15"/>
        <v>0.46206640697458728</v>
      </c>
    </row>
    <row r="480" spans="1:11" x14ac:dyDescent="0.25">
      <c r="A480" s="22" t="s">
        <v>545</v>
      </c>
      <c r="B480" s="15">
        <v>45449</v>
      </c>
      <c r="C480" s="22" t="s">
        <v>13</v>
      </c>
      <c r="D480" s="31" t="str">
        <f>_xlfn.XLOOKUP(C480, ТаблицаТовары[ID товара], ТаблицаТовары[Название])</f>
        <v>Куртка зимняя North Face</v>
      </c>
      <c r="E480" s="17" t="str">
        <f>_xlfn.XLOOKUP(C480,ТаблицаТовары[ID товара],ТаблицаТовары[Категория])</f>
        <v>Одежда</v>
      </c>
      <c r="F480" s="29">
        <v>2</v>
      </c>
      <c r="G480" s="19">
        <f>_xlfn.XLOOKUP(C480, ТаблицаТовары[ID товара], ТаблицаТовары[Цена], "Цена не найдена")</f>
        <v>12990</v>
      </c>
      <c r="H480" s="25">
        <f>MAX(
    (MONTH(B480)=11)*0.15,
    (MONTH(B480)=3)*0.1,
    (OR(C480="Т-003",C480="Т-009",C480="Т-018"))*0.12,
    (F480&gt;=3)*0.08,
    (VLOOKUP(C480,ТаблицаТовары[[ID товара]:[Категория]],3,FALSE)="Одежда")*0.1,
    0
)</f>
        <v>0.1</v>
      </c>
      <c r="I480" s="19">
        <f t="shared" si="14"/>
        <v>23382</v>
      </c>
      <c r="J480" s="19">
        <f>F480*((G480*(1-H480)) - _xlfn.XLOOKUP(C480,ТаблицаТовары[ID товара],ТаблицаТовары[Себестоимость],0))</f>
        <v>8382</v>
      </c>
      <c r="K480" s="27">
        <f t="shared" si="15"/>
        <v>0.35848088273030537</v>
      </c>
    </row>
    <row r="481" spans="1:11" x14ac:dyDescent="0.25">
      <c r="A481" s="22" t="s">
        <v>546</v>
      </c>
      <c r="B481" s="15">
        <v>45557</v>
      </c>
      <c r="C481" s="22" t="s">
        <v>43</v>
      </c>
      <c r="D481" s="31" t="str">
        <f>_xlfn.XLOOKUP(C481, ТаблицаТовары[ID товара], ТаблицаТовары[Название])</f>
        <v>Беговая дорожка</v>
      </c>
      <c r="E481" s="17" t="str">
        <f>_xlfn.XLOOKUP(C481,ТаблицаТовары[ID товара],ТаблицаТовары[Категория])</f>
        <v>Спорт</v>
      </c>
      <c r="F481" s="29">
        <v>2</v>
      </c>
      <c r="G481" s="19">
        <f>_xlfn.XLOOKUP(C481, ТаблицаТовары[ID товара], ТаблицаТовары[Цена], "Цена не найдена")</f>
        <v>79990</v>
      </c>
      <c r="H481" s="25">
        <f>MAX(
    (MONTH(B481)=11)*0.15,
    (MONTH(B481)=3)*0.1,
    (OR(C481="Т-003",C481="Т-009",C481="Т-018"))*0.12,
    (F481&gt;=3)*0.08,
    (VLOOKUP(C481,ТаблицаТовары[[ID товара]:[Категория]],3,FALSE)="Одежда")*0.1,
    0
)</f>
        <v>0</v>
      </c>
      <c r="I481" s="19">
        <f t="shared" si="14"/>
        <v>159980</v>
      </c>
      <c r="J481" s="19">
        <f>F481*((G481*(1-H481)) - _xlfn.XLOOKUP(C481,ТаблицаТовары[ID товара],ТаблицаТовары[Себестоимость],0))</f>
        <v>42180</v>
      </c>
      <c r="K481" s="27">
        <f t="shared" si="15"/>
        <v>0.26365795724465557</v>
      </c>
    </row>
    <row r="482" spans="1:11" x14ac:dyDescent="0.25">
      <c r="A482" s="22" t="s">
        <v>547</v>
      </c>
      <c r="B482" s="15">
        <v>45587</v>
      </c>
      <c r="C482" s="22" t="s">
        <v>24</v>
      </c>
      <c r="D482" s="31" t="str">
        <f>_xlfn.XLOOKUP(C482, ТаблицаТовары[ID товара], ТаблицаТовары[Название])</f>
        <v>Чайник стеклянный</v>
      </c>
      <c r="E482" s="17" t="str">
        <f>_xlfn.XLOOKUP(C482,ТаблицаТовары[ID товара],ТаблицаТовары[Категория])</f>
        <v>Для дома</v>
      </c>
      <c r="F482" s="29">
        <v>1</v>
      </c>
      <c r="G482" s="19">
        <f>_xlfn.XLOOKUP(C482, ТаблицаТовары[ID товара], ТаблицаТовары[Цена], "Цена не найдена")</f>
        <v>2490</v>
      </c>
      <c r="H482" s="25">
        <f>MAX(
    (MONTH(B482)=11)*0.15,
    (MONTH(B482)=3)*0.1,
    (OR(C482="Т-003",C482="Т-009",C482="Т-018"))*0.12,
    (F482&gt;=3)*0.08,
    (VLOOKUP(C482,ТаблицаТовары[[ID товара]:[Категория]],3,FALSE)="Одежда")*0.1,
    0
)</f>
        <v>0</v>
      </c>
      <c r="I482" s="19">
        <f t="shared" si="14"/>
        <v>2490</v>
      </c>
      <c r="J482" s="19">
        <f>F482*((G482*(1-H482)) - _xlfn.XLOOKUP(C482,ТаблицаТовары[ID товара],ТаблицаТовары[Себестоимость],0))</f>
        <v>1290</v>
      </c>
      <c r="K482" s="27">
        <f t="shared" si="15"/>
        <v>0.51807228915662651</v>
      </c>
    </row>
    <row r="483" spans="1:11" x14ac:dyDescent="0.25">
      <c r="A483" s="22" t="s">
        <v>548</v>
      </c>
      <c r="B483" s="15">
        <v>45634</v>
      </c>
      <c r="C483" s="22" t="s">
        <v>28</v>
      </c>
      <c r="D483" s="31" t="str">
        <f>_xlfn.XLOOKUP(C483, ТаблицаТовары[ID товара], ТаблицаТовары[Название])</f>
        <v>Монитор 24" Samsung</v>
      </c>
      <c r="E483" s="17" t="str">
        <f>_xlfn.XLOOKUP(C483,ТаблицаТовары[ID товара],ТаблицаТовары[Категория])</f>
        <v>Электроника</v>
      </c>
      <c r="F483" s="29">
        <v>1</v>
      </c>
      <c r="G483" s="19">
        <f>_xlfn.XLOOKUP(C483, ТаблицаТовары[ID товара], ТаблицаТовары[Цена], "Цена не найдена")</f>
        <v>18990</v>
      </c>
      <c r="H483" s="25">
        <f>MAX(
    (MONTH(B483)=11)*0.15,
    (MONTH(B483)=3)*0.1,
    (OR(C483="Т-003",C483="Т-009",C483="Т-018"))*0.12,
    (F483&gt;=3)*0.08,
    (VLOOKUP(C483,ТаблицаТовары[[ID товара]:[Категория]],3,FALSE)="Одежда")*0.1,
    0
)</f>
        <v>0</v>
      </c>
      <c r="I483" s="19">
        <f t="shared" si="14"/>
        <v>18990</v>
      </c>
      <c r="J483" s="19">
        <f>F483*((G483*(1-H483)) - _xlfn.XLOOKUP(C483,ТаблицаТовары[ID товара],ТаблицаТовары[Себестоимость],0))</f>
        <v>5790</v>
      </c>
      <c r="K483" s="27">
        <f t="shared" si="15"/>
        <v>0.30489731437598738</v>
      </c>
    </row>
    <row r="484" spans="1:11" x14ac:dyDescent="0.25">
      <c r="A484" s="22" t="s">
        <v>549</v>
      </c>
      <c r="B484" s="15">
        <v>45357</v>
      </c>
      <c r="C484" s="22" t="s">
        <v>5</v>
      </c>
      <c r="D484" s="31" t="str">
        <f>_xlfn.XLOOKUP(C484, ТаблицаТовары[ID товара], ТаблицаТовары[Название])</f>
        <v>Смартфон Galaxy A54</v>
      </c>
      <c r="E484" s="17" t="str">
        <f>_xlfn.XLOOKUP(C484,ТаблицаТовары[ID товара],ТаблицаТовары[Категория])</f>
        <v>Электроника</v>
      </c>
      <c r="F484" s="29">
        <v>1</v>
      </c>
      <c r="G484" s="19">
        <f>_xlfn.XLOOKUP(C484, ТаблицаТовары[ID товара], ТаблицаТовары[Цена], "Цена не найдена")</f>
        <v>29990</v>
      </c>
      <c r="H484" s="25">
        <f>MAX(
    (MONTH(B484)=11)*0.15,
    (MONTH(B484)=3)*0.1,
    (OR(C484="Т-003",C484="Т-009",C484="Т-018"))*0.12,
    (F484&gt;=3)*0.08,
    (VLOOKUP(C484,ТаблицаТовары[[ID товара]:[Категория]],3,FALSE)="Одежда")*0.1,
    0
)</f>
        <v>0.1</v>
      </c>
      <c r="I484" s="19">
        <f t="shared" si="14"/>
        <v>26991</v>
      </c>
      <c r="J484" s="19">
        <f>F484*((G484*(1-H484)) - _xlfn.XLOOKUP(C484,ТаблицаТовары[ID товара],ТаблицаТовары[Себестоимость],0))</f>
        <v>5491</v>
      </c>
      <c r="K484" s="27">
        <f t="shared" si="15"/>
        <v>0.20343818309806971</v>
      </c>
    </row>
    <row r="485" spans="1:11" x14ac:dyDescent="0.25">
      <c r="A485" s="22" t="s">
        <v>550</v>
      </c>
      <c r="B485" s="15">
        <v>45292</v>
      </c>
      <c r="C485" s="22" t="s">
        <v>26</v>
      </c>
      <c r="D485" s="31" t="str">
        <f>_xlfn.XLOOKUP(C485, ТаблицаТовары[ID товара], ТаблицаТовары[Название])</f>
        <v>Футболка хлопковая</v>
      </c>
      <c r="E485" s="17" t="str">
        <f>_xlfn.XLOOKUP(C485,ТаблицаТовары[ID товара],ТаблицаТовары[Категория])</f>
        <v>Одежда</v>
      </c>
      <c r="F485" s="29">
        <v>1</v>
      </c>
      <c r="G485" s="19">
        <f>_xlfn.XLOOKUP(C485, ТаблицаТовары[ID товара], ТаблицаТовары[Цена], "Цена не найдена")</f>
        <v>990</v>
      </c>
      <c r="H485" s="25">
        <f>MAX(
    (MONTH(B485)=11)*0.15,
    (MONTH(B485)=3)*0.1,
    (OR(C485="Т-003",C485="Т-009",C485="Т-018"))*0.12,
    (F485&gt;=3)*0.08,
    (VLOOKUP(C485,ТаблицаТовары[[ID товара]:[Категория]],3,FALSE)="Одежда")*0.1,
    0
)</f>
        <v>0.12</v>
      </c>
      <c r="I485" s="19">
        <f t="shared" si="14"/>
        <v>871.2</v>
      </c>
      <c r="J485" s="19">
        <f>F485*((G485*(1-H485)) - _xlfn.XLOOKUP(C485,ТаблицаТовары[ID товара],ТаблицаТовары[Себестоимость],0))</f>
        <v>521.20000000000005</v>
      </c>
      <c r="K485" s="27">
        <f t="shared" si="15"/>
        <v>0.59825528007346196</v>
      </c>
    </row>
    <row r="486" spans="1:11" x14ac:dyDescent="0.25">
      <c r="A486" s="22" t="s">
        <v>551</v>
      </c>
      <c r="B486" s="15">
        <v>45323</v>
      </c>
      <c r="C486" s="22" t="s">
        <v>22</v>
      </c>
      <c r="D486" s="31" t="str">
        <f>_xlfn.XLOOKUP(C486, ТаблицаТовары[ID товара], ТаблицаТовары[Название])</f>
        <v>Ноутбук Lenovo IdeaPad</v>
      </c>
      <c r="E486" s="17" t="str">
        <f>_xlfn.XLOOKUP(C486,ТаблицаТовары[ID товара],ТаблицаТовары[Категория])</f>
        <v>Электроника</v>
      </c>
      <c r="F486" s="29">
        <v>1</v>
      </c>
      <c r="G486" s="19">
        <f>_xlfn.XLOOKUP(C486, ТаблицаТовары[ID товара], ТаблицаТовары[Цена], "Цена не найдена")</f>
        <v>64990</v>
      </c>
      <c r="H486" s="25">
        <f>MAX(
    (MONTH(B486)=11)*0.15,
    (MONTH(B486)=3)*0.1,
    (OR(C486="Т-003",C486="Т-009",C486="Т-018"))*0.12,
    (F486&gt;=3)*0.08,
    (VLOOKUP(C486,ТаблицаТовары[[ID товара]:[Категория]],3,FALSE)="Одежда")*0.1,
    0
)</f>
        <v>0</v>
      </c>
      <c r="I486" s="19">
        <f t="shared" si="14"/>
        <v>64990</v>
      </c>
      <c r="J486" s="19">
        <f>F486*((G486*(1-H486)) - _xlfn.XLOOKUP(C486,ТаблицаТовары[ID товара],ТаблицаТовары[Себестоимость],0))</f>
        <v>17190</v>
      </c>
      <c r="K486" s="27">
        <f t="shared" si="15"/>
        <v>0.26450223111247884</v>
      </c>
    </row>
    <row r="487" spans="1:11" x14ac:dyDescent="0.25">
      <c r="A487" s="22" t="s">
        <v>552</v>
      </c>
      <c r="B487" s="15">
        <v>45327</v>
      </c>
      <c r="C487" s="22" t="s">
        <v>48</v>
      </c>
      <c r="D487" s="31" t="str">
        <f>_xlfn.XLOOKUP(C487, ТаблицаТовары[ID товара], ТаблицаТовары[Название])</f>
        <v>Микрофон для стримов</v>
      </c>
      <c r="E487" s="17" t="str">
        <f>_xlfn.XLOOKUP(C487,ТаблицаТовары[ID товара],ТаблицаТовары[Категория])</f>
        <v>Электроника</v>
      </c>
      <c r="F487" s="29">
        <v>1</v>
      </c>
      <c r="G487" s="19">
        <f>_xlfn.XLOOKUP(C487, ТаблицаТовары[ID товара], ТаблицаТовары[Цена], "Цена не найдена")</f>
        <v>12990</v>
      </c>
      <c r="H487" s="25">
        <f>MAX(
    (MONTH(B487)=11)*0.15,
    (MONTH(B487)=3)*0.1,
    (OR(C487="Т-003",C487="Т-009",C487="Т-018"))*0.12,
    (F487&gt;=3)*0.08,
    (VLOOKUP(C487,ТаблицаТовары[[ID товара]:[Категория]],3,FALSE)="Одежда")*0.1,
    0
)</f>
        <v>0</v>
      </c>
      <c r="I487" s="19">
        <f t="shared" si="14"/>
        <v>12990</v>
      </c>
      <c r="J487" s="19">
        <f>F487*((G487*(1-H487)) - _xlfn.XLOOKUP(C487,ТаблицаТовары[ID товара],ТаблицаТовары[Себестоимость],0))</f>
        <v>4090</v>
      </c>
      <c r="K487" s="27">
        <f t="shared" si="15"/>
        <v>0.31485758275596615</v>
      </c>
    </row>
    <row r="488" spans="1:11" x14ac:dyDescent="0.25">
      <c r="A488" s="22" t="s">
        <v>553</v>
      </c>
      <c r="B488" s="15">
        <v>45611</v>
      </c>
      <c r="C488" s="22" t="s">
        <v>37</v>
      </c>
      <c r="D488" s="31" t="str">
        <f>_xlfn.XLOOKUP(C488, ТаблицаТовары[ID товара], ТаблицаТовары[Название])</f>
        <v>Набор посуды 12 предметов</v>
      </c>
      <c r="E488" s="17" t="str">
        <f>_xlfn.XLOOKUP(C488,ТаблицаТовары[ID товара],ТаблицаТовары[Категория])</f>
        <v>Для дома</v>
      </c>
      <c r="F488" s="29">
        <v>2</v>
      </c>
      <c r="G488" s="19">
        <f>_xlfn.XLOOKUP(C488, ТаблицаТовары[ID товара], ТаблицаТовары[Цена], "Цена не найдена")</f>
        <v>14990</v>
      </c>
      <c r="H488" s="25">
        <f>MAX(
    (MONTH(B488)=11)*0.15,
    (MONTH(B488)=3)*0.1,
    (OR(C488="Т-003",C488="Т-009",C488="Т-018"))*0.12,
    (F488&gt;=3)*0.08,
    (VLOOKUP(C488,ТаблицаТовары[[ID товара]:[Категория]],3,FALSE)="Одежда")*0.1,
    0
)</f>
        <v>0.15</v>
      </c>
      <c r="I488" s="19">
        <f t="shared" si="14"/>
        <v>25483</v>
      </c>
      <c r="J488" s="19">
        <f>F488*((G488*(1-H488)) - _xlfn.XLOOKUP(C488,ТаблицаТовары[ID товара],ТаблицаТовары[Себестоимость],0))</f>
        <v>8283</v>
      </c>
      <c r="K488" s="27">
        <f t="shared" si="15"/>
        <v>0.32504022289369383</v>
      </c>
    </row>
    <row r="489" spans="1:11" x14ac:dyDescent="0.25">
      <c r="A489" s="22" t="s">
        <v>554</v>
      </c>
      <c r="B489" s="15">
        <v>45501</v>
      </c>
      <c r="C489" s="22" t="s">
        <v>43</v>
      </c>
      <c r="D489" s="31" t="str">
        <f>_xlfn.XLOOKUP(C489, ТаблицаТовары[ID товара], ТаблицаТовары[Название])</f>
        <v>Беговая дорожка</v>
      </c>
      <c r="E489" s="17" t="str">
        <f>_xlfn.XLOOKUP(C489,ТаблицаТовары[ID товара],ТаблицаТовары[Категория])</f>
        <v>Спорт</v>
      </c>
      <c r="F489" s="29">
        <v>3</v>
      </c>
      <c r="G489" s="19">
        <f>_xlfn.XLOOKUP(C489, ТаблицаТовары[ID товара], ТаблицаТовары[Цена], "Цена не найдена")</f>
        <v>79990</v>
      </c>
      <c r="H489" s="25">
        <f>MAX(
    (MONTH(B489)=11)*0.15,
    (MONTH(B489)=3)*0.1,
    (OR(C489="Т-003",C489="Т-009",C489="Т-018"))*0.12,
    (F489&gt;=3)*0.08,
    (VLOOKUP(C489,ТаблицаТовары[[ID товара]:[Категория]],3,FALSE)="Одежда")*0.1,
    0
)</f>
        <v>0.08</v>
      </c>
      <c r="I489" s="19">
        <f t="shared" si="14"/>
        <v>220772.40000000002</v>
      </c>
      <c r="J489" s="19">
        <f>F489*((G489*(1-H489)) - _xlfn.XLOOKUP(C489,ТаблицаТовары[ID товара],ТаблицаТовары[Себестоимость],0))</f>
        <v>44072.400000000009</v>
      </c>
      <c r="K489" s="27">
        <f t="shared" si="15"/>
        <v>0.19962821439636477</v>
      </c>
    </row>
    <row r="490" spans="1:11" x14ac:dyDescent="0.25">
      <c r="A490" s="22" t="s">
        <v>555</v>
      </c>
      <c r="B490" s="15">
        <v>45612</v>
      </c>
      <c r="C490" s="22" t="s">
        <v>8</v>
      </c>
      <c r="D490" s="31" t="str">
        <f>_xlfn.XLOOKUP(C490, ТаблицаТовары[ID товара], ТаблицаТовары[Название])</f>
        <v>Наушники Sony WH-1000XM5</v>
      </c>
      <c r="E490" s="17" t="str">
        <f>_xlfn.XLOOKUP(C490,ТаблицаТовары[ID товара],ТаблицаТовары[Категория])</f>
        <v>Электроника</v>
      </c>
      <c r="F490" s="29">
        <v>1</v>
      </c>
      <c r="G490" s="19">
        <f>_xlfn.XLOOKUP(C490, ТаблицаТовары[ID товара], ТаблицаТовары[Цена], "Цена не найдена")</f>
        <v>26990</v>
      </c>
      <c r="H490" s="25">
        <f>MAX(
    (MONTH(B490)=11)*0.15,
    (MONTH(B490)=3)*0.1,
    (OR(C490="Т-003",C490="Т-009",C490="Т-018"))*0.12,
    (F490&gt;=3)*0.08,
    (VLOOKUP(C490,ТаблицаТовары[[ID товара]:[Категория]],3,FALSE)="Одежда")*0.1,
    0
)</f>
        <v>0.15</v>
      </c>
      <c r="I490" s="19">
        <f t="shared" si="14"/>
        <v>22941.5</v>
      </c>
      <c r="J490" s="19">
        <f>F490*((G490*(1-H490)) - _xlfn.XLOOKUP(C490,ТаблицаТовары[ID товара],ТаблицаТовары[Себестоимость],0))</f>
        <v>4041.5</v>
      </c>
      <c r="K490" s="27">
        <f t="shared" si="15"/>
        <v>0.1761654643331953</v>
      </c>
    </row>
    <row r="491" spans="1:11" x14ac:dyDescent="0.25">
      <c r="A491" s="22" t="s">
        <v>556</v>
      </c>
      <c r="B491" s="15">
        <v>45387</v>
      </c>
      <c r="C491" s="22" t="s">
        <v>48</v>
      </c>
      <c r="D491" s="31" t="str">
        <f>_xlfn.XLOOKUP(C491, ТаблицаТовары[ID товара], ТаблицаТовары[Название])</f>
        <v>Микрофон для стримов</v>
      </c>
      <c r="E491" s="17" t="str">
        <f>_xlfn.XLOOKUP(C491,ТаблицаТовары[ID товара],ТаблицаТовары[Категория])</f>
        <v>Электроника</v>
      </c>
      <c r="F491" s="29">
        <v>3</v>
      </c>
      <c r="G491" s="19">
        <f>_xlfn.XLOOKUP(C491, ТаблицаТовары[ID товара], ТаблицаТовары[Цена], "Цена не найдена")</f>
        <v>12990</v>
      </c>
      <c r="H491" s="25">
        <f>MAX(
    (MONTH(B491)=11)*0.15,
    (MONTH(B491)=3)*0.1,
    (OR(C491="Т-003",C491="Т-009",C491="Т-018"))*0.12,
    (F491&gt;=3)*0.08,
    (VLOOKUP(C491,ТаблицаТовары[[ID товара]:[Категория]],3,FALSE)="Одежда")*0.1,
    0
)</f>
        <v>0.08</v>
      </c>
      <c r="I491" s="19">
        <f t="shared" si="14"/>
        <v>35852.400000000001</v>
      </c>
      <c r="J491" s="19">
        <f>F491*((G491*(1-H491)) - _xlfn.XLOOKUP(C491,ТаблицаТовары[ID товара],ТаблицаТовары[Себестоимость],0))</f>
        <v>9152.4000000000033</v>
      </c>
      <c r="K491" s="27">
        <f t="shared" si="15"/>
        <v>0.25527998125648499</v>
      </c>
    </row>
    <row r="492" spans="1:11" x14ac:dyDescent="0.25">
      <c r="A492" s="22" t="s">
        <v>557</v>
      </c>
      <c r="B492" s="15">
        <v>45588</v>
      </c>
      <c r="C492" s="22" t="s">
        <v>32</v>
      </c>
      <c r="D492" s="31" t="str">
        <f>_xlfn.XLOOKUP(C492, ТаблицаТовары[ID товара], ТаблицаТовары[Название])</f>
        <v>Рюкзак туристический</v>
      </c>
      <c r="E492" s="17" t="str">
        <f>_xlfn.XLOOKUP(C492,ТаблицаТовары[ID товара],ТаблицаТовары[Категория])</f>
        <v>Аксессуары</v>
      </c>
      <c r="F492" s="29">
        <v>2</v>
      </c>
      <c r="G492" s="19">
        <f>_xlfn.XLOOKUP(C492, ТаблицаТовары[ID товара], ТаблицаТовары[Цена], "Цена не найдена")</f>
        <v>3490</v>
      </c>
      <c r="H492" s="25">
        <f>MAX(
    (MONTH(B492)=11)*0.15,
    (MONTH(B492)=3)*0.1,
    (OR(C492="Т-003",C492="Т-009",C492="Т-018"))*0.12,
    (F492&gt;=3)*0.08,
    (VLOOKUP(C492,ТаблицаТовары[[ID товара]:[Категория]],3,FALSE)="Одежда")*0.1,
    0
)</f>
        <v>0</v>
      </c>
      <c r="I492" s="19">
        <f t="shared" si="14"/>
        <v>6980</v>
      </c>
      <c r="J492" s="19">
        <f>F492*((G492*(1-H492)) - _xlfn.XLOOKUP(C492,ТаблицаТовары[ID товара],ТаблицаТовары[Себестоимость],0))</f>
        <v>3380</v>
      </c>
      <c r="K492" s="27">
        <f t="shared" si="15"/>
        <v>0.48424068767908307</v>
      </c>
    </row>
    <row r="493" spans="1:11" x14ac:dyDescent="0.25">
      <c r="A493" s="22" t="s">
        <v>558</v>
      </c>
      <c r="B493" s="15">
        <v>45562</v>
      </c>
      <c r="C493" s="22" t="s">
        <v>37</v>
      </c>
      <c r="D493" s="31" t="str">
        <f>_xlfn.XLOOKUP(C493, ТаблицаТовары[ID товара], ТаблицаТовары[Название])</f>
        <v>Набор посуды 12 предметов</v>
      </c>
      <c r="E493" s="17" t="str">
        <f>_xlfn.XLOOKUP(C493,ТаблицаТовары[ID товара],ТаблицаТовары[Категория])</f>
        <v>Для дома</v>
      </c>
      <c r="F493" s="29">
        <v>1</v>
      </c>
      <c r="G493" s="19">
        <f>_xlfn.XLOOKUP(C493, ТаблицаТовары[ID товара], ТаблицаТовары[Цена], "Цена не найдена")</f>
        <v>14990</v>
      </c>
      <c r="H493" s="25">
        <f>MAX(
    (MONTH(B493)=11)*0.15,
    (MONTH(B493)=3)*0.1,
    (OR(C493="Т-003",C493="Т-009",C493="Т-018"))*0.12,
    (F493&gt;=3)*0.08,
    (VLOOKUP(C493,ТаблицаТовары[[ID товара]:[Категория]],3,FALSE)="Одежда")*0.1,
    0
)</f>
        <v>0</v>
      </c>
      <c r="I493" s="19">
        <f t="shared" si="14"/>
        <v>14990</v>
      </c>
      <c r="J493" s="19">
        <f>F493*((G493*(1-H493)) - _xlfn.XLOOKUP(C493,ТаблицаТовары[ID товара],ТаблицаТовары[Себестоимость],0))</f>
        <v>6390</v>
      </c>
      <c r="K493" s="27">
        <f t="shared" si="15"/>
        <v>0.42628418945963975</v>
      </c>
    </row>
    <row r="494" spans="1:11" x14ac:dyDescent="0.25">
      <c r="A494" s="22" t="s">
        <v>559</v>
      </c>
      <c r="B494" s="15">
        <v>45473</v>
      </c>
      <c r="C494" s="22" t="s">
        <v>8</v>
      </c>
      <c r="D494" s="31" t="str">
        <f>_xlfn.XLOOKUP(C494, ТаблицаТовары[ID товара], ТаблицаТовары[Название])</f>
        <v>Наушники Sony WH-1000XM5</v>
      </c>
      <c r="E494" s="17" t="str">
        <f>_xlfn.XLOOKUP(C494,ТаблицаТовары[ID товара],ТаблицаТовары[Категория])</f>
        <v>Электроника</v>
      </c>
      <c r="F494" s="29">
        <v>2</v>
      </c>
      <c r="G494" s="19">
        <f>_xlfn.XLOOKUP(C494, ТаблицаТовары[ID товара], ТаблицаТовары[Цена], "Цена не найдена")</f>
        <v>26990</v>
      </c>
      <c r="H494" s="25">
        <f>MAX(
    (MONTH(B494)=11)*0.15,
    (MONTH(B494)=3)*0.1,
    (OR(C494="Т-003",C494="Т-009",C494="Т-018"))*0.12,
    (F494&gt;=3)*0.08,
    (VLOOKUP(C494,ТаблицаТовары[[ID товара]:[Категория]],3,FALSE)="Одежда")*0.1,
    0
)</f>
        <v>0</v>
      </c>
      <c r="I494" s="19">
        <f t="shared" si="14"/>
        <v>53980</v>
      </c>
      <c r="J494" s="19">
        <f>F494*((G494*(1-H494)) - _xlfn.XLOOKUP(C494,ТаблицаТовары[ID товара],ТаблицаТовары[Себестоимость],0))</f>
        <v>16180</v>
      </c>
      <c r="K494" s="27">
        <f t="shared" si="15"/>
        <v>0.29974064468321598</v>
      </c>
    </row>
    <row r="495" spans="1:11" x14ac:dyDescent="0.25">
      <c r="A495" s="22" t="s">
        <v>560</v>
      </c>
      <c r="B495" s="15">
        <v>45323</v>
      </c>
      <c r="C495" s="22" t="s">
        <v>43</v>
      </c>
      <c r="D495" s="31" t="str">
        <f>_xlfn.XLOOKUP(C495, ТаблицаТовары[ID товара], ТаблицаТовары[Название])</f>
        <v>Беговая дорожка</v>
      </c>
      <c r="E495" s="17" t="str">
        <f>_xlfn.XLOOKUP(C495,ТаблицаТовары[ID товара],ТаблицаТовары[Категория])</f>
        <v>Спорт</v>
      </c>
      <c r="F495" s="29">
        <v>2</v>
      </c>
      <c r="G495" s="19">
        <f>_xlfn.XLOOKUP(C495, ТаблицаТовары[ID товара], ТаблицаТовары[Цена], "Цена не найдена")</f>
        <v>79990</v>
      </c>
      <c r="H495" s="25">
        <f>MAX(
    (MONTH(B495)=11)*0.15,
    (MONTH(B495)=3)*0.1,
    (OR(C495="Т-003",C495="Т-009",C495="Т-018"))*0.12,
    (F495&gt;=3)*0.08,
    (VLOOKUP(C495,ТаблицаТовары[[ID товара]:[Категория]],3,FALSE)="Одежда")*0.1,
    0
)</f>
        <v>0</v>
      </c>
      <c r="I495" s="19">
        <f t="shared" si="14"/>
        <v>159980</v>
      </c>
      <c r="J495" s="19">
        <f>F495*((G495*(1-H495)) - _xlfn.XLOOKUP(C495,ТаблицаТовары[ID товара],ТаблицаТовары[Себестоимость],0))</f>
        <v>42180</v>
      </c>
      <c r="K495" s="27">
        <f t="shared" si="15"/>
        <v>0.26365795724465557</v>
      </c>
    </row>
    <row r="496" spans="1:11" x14ac:dyDescent="0.25">
      <c r="A496" s="22" t="s">
        <v>561</v>
      </c>
      <c r="B496" s="15">
        <v>45554</v>
      </c>
      <c r="C496" s="22" t="s">
        <v>43</v>
      </c>
      <c r="D496" s="31" t="str">
        <f>_xlfn.XLOOKUP(C496, ТаблицаТовары[ID товара], ТаблицаТовары[Название])</f>
        <v>Беговая дорожка</v>
      </c>
      <c r="E496" s="17" t="str">
        <f>_xlfn.XLOOKUP(C496,ТаблицаТовары[ID товара],ТаблицаТовары[Категория])</f>
        <v>Спорт</v>
      </c>
      <c r="F496" s="29">
        <v>2</v>
      </c>
      <c r="G496" s="19">
        <f>_xlfn.XLOOKUP(C496, ТаблицаТовары[ID товара], ТаблицаТовары[Цена], "Цена не найдена")</f>
        <v>79990</v>
      </c>
      <c r="H496" s="25">
        <f>MAX(
    (MONTH(B496)=11)*0.15,
    (MONTH(B496)=3)*0.1,
    (OR(C496="Т-003",C496="Т-009",C496="Т-018"))*0.12,
    (F496&gt;=3)*0.08,
    (VLOOKUP(C496,ТаблицаТовары[[ID товара]:[Категория]],3,FALSE)="Одежда")*0.1,
    0
)</f>
        <v>0</v>
      </c>
      <c r="I496" s="19">
        <f t="shared" si="14"/>
        <v>159980</v>
      </c>
      <c r="J496" s="19">
        <f>F496*((G496*(1-H496)) - _xlfn.XLOOKUP(C496,ТаблицаТовары[ID товара],ТаблицаТовары[Себестоимость],0))</f>
        <v>42180</v>
      </c>
      <c r="K496" s="27">
        <f t="shared" si="15"/>
        <v>0.26365795724465557</v>
      </c>
    </row>
    <row r="497" spans="1:11" x14ac:dyDescent="0.25">
      <c r="A497" s="22" t="s">
        <v>562</v>
      </c>
      <c r="B497" s="15">
        <v>45644</v>
      </c>
      <c r="C497" s="22" t="s">
        <v>50</v>
      </c>
      <c r="D497" s="31" t="str">
        <f>_xlfn.XLOOKUP(C497, ТаблицаТовары[ID товара], ТаблицаТовары[Название])</f>
        <v>Йогуртница</v>
      </c>
      <c r="E497" s="17" t="str">
        <f>_xlfn.XLOOKUP(C497,ТаблицаТовары[ID товара],ТаблицаТовары[Категория])</f>
        <v>Для дома</v>
      </c>
      <c r="F497" s="29">
        <v>1</v>
      </c>
      <c r="G497" s="19">
        <f>_xlfn.XLOOKUP(C497, ТаблицаТовары[ID товара], ТаблицаТовары[Цена], "Цена не найдена")</f>
        <v>4990</v>
      </c>
      <c r="H497" s="25">
        <f>MAX(
    (MONTH(B497)=11)*0.15,
    (MONTH(B497)=3)*0.1,
    (OR(C497="Т-003",C497="Т-009",C497="Т-018"))*0.12,
    (F497&gt;=3)*0.08,
    (VLOOKUP(C497,ТаблицаТовары[[ID товара]:[Категория]],3,FALSE)="Одежда")*0.1,
    0
)</f>
        <v>0</v>
      </c>
      <c r="I497" s="19">
        <f t="shared" si="14"/>
        <v>4990</v>
      </c>
      <c r="J497" s="19">
        <f>F497*((G497*(1-H497)) - _xlfn.XLOOKUP(C497,ТаблицаТовары[ID товара],ТаблицаТовары[Себестоимость],0))</f>
        <v>1790</v>
      </c>
      <c r="K497" s="27">
        <f t="shared" si="15"/>
        <v>0.3587174348697395</v>
      </c>
    </row>
    <row r="498" spans="1:11" x14ac:dyDescent="0.25">
      <c r="A498" s="22" t="s">
        <v>563</v>
      </c>
      <c r="B498" s="15">
        <v>45509</v>
      </c>
      <c r="C498" s="22" t="s">
        <v>46</v>
      </c>
      <c r="D498" s="31" t="str">
        <f>_xlfn.XLOOKUP(C498, ТаблицаТовары[ID товара], ТаблицаТовары[Название])</f>
        <v>Сумка кожаная женская</v>
      </c>
      <c r="E498" s="17" t="str">
        <f>_xlfn.XLOOKUP(C498,ТаблицаТовары[ID товара],ТаблицаТовары[Категория])</f>
        <v>Аксессуары</v>
      </c>
      <c r="F498" s="29">
        <v>3</v>
      </c>
      <c r="G498" s="19">
        <f>_xlfn.XLOOKUP(C498, ТаблицаТовары[ID товара], ТаблицаТовары[Цена], "Цена не найдена")</f>
        <v>7590</v>
      </c>
      <c r="H498" s="25">
        <f>MAX(
    (MONTH(B498)=11)*0.15,
    (MONTH(B498)=3)*0.1,
    (OR(C498="Т-003",C498="Т-009",C498="Т-018"))*0.12,
    (F498&gt;=3)*0.08,
    (VLOOKUP(C498,ТаблицаТовары[[ID товара]:[Категория]],3,FALSE)="Одежда")*0.1,
    0
)</f>
        <v>0.12</v>
      </c>
      <c r="I498" s="19">
        <f t="shared" si="14"/>
        <v>20037.599999999999</v>
      </c>
      <c r="J498" s="19">
        <f>F498*((G498*(1-H498)) - _xlfn.XLOOKUP(C498,ТаблицаТовары[ID товара],ТаблицаТовары[Себестоимость],0))</f>
        <v>7437.5999999999995</v>
      </c>
      <c r="K498" s="27">
        <f t="shared" si="15"/>
        <v>0.37118217750628818</v>
      </c>
    </row>
    <row r="499" spans="1:11" x14ac:dyDescent="0.25">
      <c r="A499" s="22" t="s">
        <v>564</v>
      </c>
      <c r="B499" s="15">
        <v>45473</v>
      </c>
      <c r="C499" s="22" t="s">
        <v>26</v>
      </c>
      <c r="D499" s="31" t="str">
        <f>_xlfn.XLOOKUP(C499, ТаблицаТовары[ID товара], ТаблицаТовары[Название])</f>
        <v>Футболка хлопковая</v>
      </c>
      <c r="E499" s="17" t="str">
        <f>_xlfn.XLOOKUP(C499,ТаблицаТовары[ID товара],ТаблицаТовары[Категория])</f>
        <v>Одежда</v>
      </c>
      <c r="F499" s="29">
        <v>2</v>
      </c>
      <c r="G499" s="19">
        <f>_xlfn.XLOOKUP(C499, ТаблицаТовары[ID товара], ТаблицаТовары[Цена], "Цена не найдена")</f>
        <v>990</v>
      </c>
      <c r="H499" s="25">
        <f>MAX(
    (MONTH(B499)=11)*0.15,
    (MONTH(B499)=3)*0.1,
    (OR(C499="Т-003",C499="Т-009",C499="Т-018"))*0.12,
    (F499&gt;=3)*0.08,
    (VLOOKUP(C499,ТаблицаТовары[[ID товара]:[Категория]],3,FALSE)="Одежда")*0.1,
    0
)</f>
        <v>0.12</v>
      </c>
      <c r="I499" s="19">
        <f t="shared" si="14"/>
        <v>1742.4</v>
      </c>
      <c r="J499" s="19">
        <f>F499*((G499*(1-H499)) - _xlfn.XLOOKUP(C499,ТаблицаТовары[ID товара],ТаблицаТовары[Себестоимость],0))</f>
        <v>1042.4000000000001</v>
      </c>
      <c r="K499" s="27">
        <f t="shared" si="15"/>
        <v>0.59825528007346196</v>
      </c>
    </row>
    <row r="500" spans="1:11" x14ac:dyDescent="0.25">
      <c r="A500" s="22" t="s">
        <v>565</v>
      </c>
      <c r="B500" s="15">
        <v>45606</v>
      </c>
      <c r="C500" s="22" t="s">
        <v>28</v>
      </c>
      <c r="D500" s="31" t="str">
        <f>_xlfn.XLOOKUP(C500, ТаблицаТовары[ID товара], ТаблицаТовары[Название])</f>
        <v>Монитор 24" Samsung</v>
      </c>
      <c r="E500" s="17" t="str">
        <f>_xlfn.XLOOKUP(C500,ТаблицаТовары[ID товара],ТаблицаТовары[Категория])</f>
        <v>Электроника</v>
      </c>
      <c r="F500" s="29">
        <v>2</v>
      </c>
      <c r="G500" s="19">
        <f>_xlfn.XLOOKUP(C500, ТаблицаТовары[ID товара], ТаблицаТовары[Цена], "Цена не найдена")</f>
        <v>18990</v>
      </c>
      <c r="H500" s="25">
        <f>MAX(
    (MONTH(B500)=11)*0.15,
    (MONTH(B500)=3)*0.1,
    (OR(C500="Т-003",C500="Т-009",C500="Т-018"))*0.12,
    (F500&gt;=3)*0.08,
    (VLOOKUP(C500,ТаблицаТовары[[ID товара]:[Категория]],3,FALSE)="Одежда")*0.1,
    0
)</f>
        <v>0.15</v>
      </c>
      <c r="I500" s="19">
        <f>F500*G500*(1-H500)</f>
        <v>32283</v>
      </c>
      <c r="J500" s="19">
        <f>F500*((G500*(1-H500)) - _xlfn.XLOOKUP(C500,ТаблицаТовары[ID товара],ТаблицаТовары[Себестоимость],0))</f>
        <v>5883</v>
      </c>
      <c r="K500" s="27">
        <f t="shared" si="15"/>
        <v>0.18223213455998513</v>
      </c>
    </row>
    <row r="501" spans="1:11" x14ac:dyDescent="0.25">
      <c r="A501" s="22" t="s">
        <v>566</v>
      </c>
      <c r="B501" s="15">
        <v>45412</v>
      </c>
      <c r="C501" s="22" t="s">
        <v>8</v>
      </c>
      <c r="D501" s="31" t="str">
        <f>_xlfn.XLOOKUP(C501, ТаблицаТовары[ID товара], ТаблицаТовары[Название])</f>
        <v>Наушники Sony WH-1000XM5</v>
      </c>
      <c r="E501" s="17" t="str">
        <f>_xlfn.XLOOKUP(C501,ТаблицаТовары[ID товара],ТаблицаТовары[Категория])</f>
        <v>Электроника</v>
      </c>
      <c r="F501" s="29">
        <v>2</v>
      </c>
      <c r="G501" s="19">
        <f>_xlfn.XLOOKUP(C501, ТаблицаТовары[ID товара], ТаблицаТовары[Цена], "Цена не найдена")</f>
        <v>26990</v>
      </c>
      <c r="H501" s="25">
        <f>MAX(
    (MONTH(B501)=11)*0.15,
    (MONTH(B501)=3)*0.1,
    (OR(C501="Т-003",C501="Т-009",C501="Т-018"))*0.12,
    (F501&gt;=3)*0.08,
    (VLOOKUP(C501,ТаблицаТовары[[ID товара]:[Категория]],3,FALSE)="Одежда")*0.1,
    0
)</f>
        <v>0</v>
      </c>
      <c r="I501" s="19">
        <f t="shared" si="14"/>
        <v>53980</v>
      </c>
      <c r="J501" s="19">
        <f>F501*((G501*(1-H501)) - _xlfn.XLOOKUP(C501,ТаблицаТовары[ID товара],ТаблицаТовары[Себестоимость],0))</f>
        <v>16180</v>
      </c>
      <c r="K501" s="27">
        <f>IFERROR(J501/I501, 0)</f>
        <v>0.29974064468321598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D3EC-6025-414E-850B-1D6AF555C320}">
  <dimension ref="A1:F23"/>
  <sheetViews>
    <sheetView workbookViewId="0">
      <selection activeCell="B13" sqref="B13"/>
    </sheetView>
  </sheetViews>
  <sheetFormatPr defaultColWidth="0" defaultRowHeight="15" zeroHeight="1" x14ac:dyDescent="0.25"/>
  <cols>
    <col min="1" max="1" width="14" customWidth="1"/>
    <col min="2" max="2" width="32.28515625" bestFit="1" customWidth="1"/>
    <col min="3" max="3" width="15.140625" bestFit="1" customWidth="1"/>
    <col min="4" max="4" width="19.5703125" customWidth="1"/>
    <col min="5" max="5" width="9.5703125" customWidth="1"/>
    <col min="6" max="6" width="9.140625" customWidth="1"/>
    <col min="7" max="16384" width="9.140625" hidden="1"/>
  </cols>
  <sheetData>
    <row r="1" spans="1:5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6.5" x14ac:dyDescent="0.25">
      <c r="A2" s="4" t="s">
        <v>5</v>
      </c>
      <c r="B2" s="5" t="s">
        <v>6</v>
      </c>
      <c r="C2" s="5" t="s">
        <v>7</v>
      </c>
      <c r="D2" s="5">
        <v>21500</v>
      </c>
      <c r="E2" s="6">
        <v>29990</v>
      </c>
    </row>
    <row r="3" spans="1:5" ht="16.5" x14ac:dyDescent="0.25">
      <c r="A3" s="4" t="s">
        <v>8</v>
      </c>
      <c r="B3" s="5" t="s">
        <v>9</v>
      </c>
      <c r="C3" s="5" t="s">
        <v>7</v>
      </c>
      <c r="D3" s="5">
        <v>18900</v>
      </c>
      <c r="E3" s="6">
        <v>26990</v>
      </c>
    </row>
    <row r="4" spans="1:5" ht="16.5" x14ac:dyDescent="0.25">
      <c r="A4" s="4" t="s">
        <v>10</v>
      </c>
      <c r="B4" s="5" t="s">
        <v>11</v>
      </c>
      <c r="C4" s="5" t="s">
        <v>12</v>
      </c>
      <c r="D4" s="5">
        <v>450</v>
      </c>
      <c r="E4" s="6">
        <v>890</v>
      </c>
    </row>
    <row r="5" spans="1:5" ht="16.5" x14ac:dyDescent="0.25">
      <c r="A5" s="4" t="s">
        <v>13</v>
      </c>
      <c r="B5" s="5" t="s">
        <v>14</v>
      </c>
      <c r="C5" s="5" t="s">
        <v>15</v>
      </c>
      <c r="D5" s="5">
        <v>7500</v>
      </c>
      <c r="E5" s="6">
        <v>12990</v>
      </c>
    </row>
    <row r="6" spans="1:5" ht="16.5" x14ac:dyDescent="0.25">
      <c r="A6" s="4" t="s">
        <v>16</v>
      </c>
      <c r="B6" s="5" t="s">
        <v>17</v>
      </c>
      <c r="C6" s="5" t="s">
        <v>18</v>
      </c>
      <c r="D6" s="5">
        <v>32400</v>
      </c>
      <c r="E6" s="6">
        <v>45990</v>
      </c>
    </row>
    <row r="7" spans="1:5" ht="16.5" x14ac:dyDescent="0.25">
      <c r="A7" s="4" t="s">
        <v>19</v>
      </c>
      <c r="B7" s="5" t="s">
        <v>20</v>
      </c>
      <c r="C7" s="5" t="s">
        <v>21</v>
      </c>
      <c r="D7" s="5">
        <v>5200</v>
      </c>
      <c r="E7" s="6">
        <v>8990</v>
      </c>
    </row>
    <row r="8" spans="1:5" ht="16.5" x14ac:dyDescent="0.25">
      <c r="A8" s="4" t="s">
        <v>22</v>
      </c>
      <c r="B8" s="5" t="s">
        <v>23</v>
      </c>
      <c r="C8" s="5" t="s">
        <v>7</v>
      </c>
      <c r="D8" s="5">
        <v>47800</v>
      </c>
      <c r="E8" s="6">
        <v>64990</v>
      </c>
    </row>
    <row r="9" spans="1:5" ht="16.5" x14ac:dyDescent="0.25">
      <c r="A9" s="4" t="s">
        <v>24</v>
      </c>
      <c r="B9" s="5" t="s">
        <v>25</v>
      </c>
      <c r="C9" s="5" t="s">
        <v>18</v>
      </c>
      <c r="D9" s="5">
        <v>1200</v>
      </c>
      <c r="E9" s="6">
        <v>2490</v>
      </c>
    </row>
    <row r="10" spans="1:5" ht="16.5" x14ac:dyDescent="0.25">
      <c r="A10" s="4" t="s">
        <v>26</v>
      </c>
      <c r="B10" s="5" t="s">
        <v>27</v>
      </c>
      <c r="C10" s="5" t="s">
        <v>15</v>
      </c>
      <c r="D10" s="5">
        <v>350</v>
      </c>
      <c r="E10" s="6">
        <v>990</v>
      </c>
    </row>
    <row r="11" spans="1:5" ht="16.5" x14ac:dyDescent="0.25">
      <c r="A11" s="4" t="s">
        <v>28</v>
      </c>
      <c r="B11" s="5" t="s">
        <v>29</v>
      </c>
      <c r="C11" s="5" t="s">
        <v>7</v>
      </c>
      <c r="D11" s="5">
        <v>13200</v>
      </c>
      <c r="E11" s="6">
        <v>18990</v>
      </c>
    </row>
    <row r="12" spans="1:5" ht="16.5" x14ac:dyDescent="0.25">
      <c r="A12" s="4" t="s">
        <v>30</v>
      </c>
      <c r="B12" s="5" t="s">
        <v>31</v>
      </c>
      <c r="C12" s="5" t="s">
        <v>18</v>
      </c>
      <c r="D12" s="5">
        <v>14500</v>
      </c>
      <c r="E12" s="6">
        <v>21990</v>
      </c>
    </row>
    <row r="13" spans="1:5" ht="16.5" x14ac:dyDescent="0.25">
      <c r="A13" s="4" t="s">
        <v>32</v>
      </c>
      <c r="B13" s="5" t="s">
        <v>33</v>
      </c>
      <c r="C13" s="5" t="s">
        <v>34</v>
      </c>
      <c r="D13" s="5">
        <v>1800</v>
      </c>
      <c r="E13" s="6">
        <v>3490</v>
      </c>
    </row>
    <row r="14" spans="1:5" ht="16.5" x14ac:dyDescent="0.25">
      <c r="A14" s="4" t="s">
        <v>35</v>
      </c>
      <c r="B14" s="5" t="s">
        <v>36</v>
      </c>
      <c r="C14" s="5" t="s">
        <v>7</v>
      </c>
      <c r="D14" s="5">
        <v>28500</v>
      </c>
      <c r="E14" s="6">
        <v>39990</v>
      </c>
    </row>
    <row r="15" spans="1:5" ht="16.5" x14ac:dyDescent="0.25">
      <c r="A15" s="4" t="s">
        <v>37</v>
      </c>
      <c r="B15" s="5" t="s">
        <v>38</v>
      </c>
      <c r="C15" s="5" t="s">
        <v>18</v>
      </c>
      <c r="D15" s="5">
        <v>8600</v>
      </c>
      <c r="E15" s="6">
        <v>14990</v>
      </c>
    </row>
    <row r="16" spans="1:5" ht="16.5" x14ac:dyDescent="0.25">
      <c r="A16" s="4" t="s">
        <v>39</v>
      </c>
      <c r="B16" s="5" t="s">
        <v>40</v>
      </c>
      <c r="C16" s="5" t="s">
        <v>15</v>
      </c>
      <c r="D16" s="5">
        <v>2900</v>
      </c>
      <c r="E16" s="6">
        <v>5990</v>
      </c>
    </row>
    <row r="17" spans="1:5" ht="16.5" x14ac:dyDescent="0.25">
      <c r="A17" s="4" t="s">
        <v>41</v>
      </c>
      <c r="B17" s="5" t="s">
        <v>42</v>
      </c>
      <c r="C17" s="5" t="s">
        <v>7</v>
      </c>
      <c r="D17" s="5">
        <v>32500</v>
      </c>
      <c r="E17" s="6">
        <v>44990</v>
      </c>
    </row>
    <row r="18" spans="1:5" ht="16.5" x14ac:dyDescent="0.25">
      <c r="A18" s="4" t="s">
        <v>43</v>
      </c>
      <c r="B18" s="5" t="s">
        <v>44</v>
      </c>
      <c r="C18" s="5" t="s">
        <v>45</v>
      </c>
      <c r="D18" s="5">
        <v>58900</v>
      </c>
      <c r="E18" s="6">
        <v>79990</v>
      </c>
    </row>
    <row r="19" spans="1:5" ht="16.5" x14ac:dyDescent="0.25">
      <c r="A19" s="4" t="s">
        <v>46</v>
      </c>
      <c r="B19" s="5" t="s">
        <v>47</v>
      </c>
      <c r="C19" s="5" t="s">
        <v>34</v>
      </c>
      <c r="D19" s="5">
        <v>4200</v>
      </c>
      <c r="E19" s="6">
        <v>7590</v>
      </c>
    </row>
    <row r="20" spans="1:5" ht="16.5" x14ac:dyDescent="0.25">
      <c r="A20" s="4" t="s">
        <v>48</v>
      </c>
      <c r="B20" s="5" t="s">
        <v>49</v>
      </c>
      <c r="C20" s="5" t="s">
        <v>7</v>
      </c>
      <c r="D20" s="5">
        <v>8900</v>
      </c>
      <c r="E20" s="6">
        <v>12990</v>
      </c>
    </row>
    <row r="21" spans="1:5" ht="16.5" x14ac:dyDescent="0.25">
      <c r="A21" s="7" t="s">
        <v>50</v>
      </c>
      <c r="B21" s="8" t="s">
        <v>51</v>
      </c>
      <c r="C21" s="8" t="s">
        <v>18</v>
      </c>
      <c r="D21" s="8">
        <v>3200</v>
      </c>
      <c r="E21" s="9">
        <v>4990</v>
      </c>
    </row>
    <row r="22" spans="1:5" x14ac:dyDescent="0.25"/>
    <row r="23" spans="1:5" x14ac:dyDescent="0.2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3398-827A-4BC7-979A-97279B14078F}">
  <dimension ref="A2:V48"/>
  <sheetViews>
    <sheetView zoomScale="90" zoomScaleNormal="90" workbookViewId="0">
      <selection activeCell="F23" sqref="F23"/>
    </sheetView>
  </sheetViews>
  <sheetFormatPr defaultColWidth="0" defaultRowHeight="15" x14ac:dyDescent="0.25"/>
  <cols>
    <col min="1" max="1" width="27.85546875" bestFit="1" customWidth="1"/>
    <col min="2" max="2" width="12.5703125" bestFit="1" customWidth="1"/>
    <col min="3" max="3" width="9.140625" customWidth="1"/>
    <col min="4" max="4" width="21.140625" customWidth="1"/>
    <col min="5" max="5" width="13.140625" bestFit="1" customWidth="1"/>
    <col min="6" max="6" width="9.140625" customWidth="1"/>
    <col min="7" max="7" width="11" hidden="1" customWidth="1"/>
    <col min="8" max="8" width="11.5703125" hidden="1" customWidth="1"/>
    <col min="9" max="10" width="9.140625" hidden="1" customWidth="1"/>
    <col min="11" max="11" width="12.85546875" hidden="1" customWidth="1"/>
    <col min="12" max="12" width="11.5703125" hidden="1" customWidth="1"/>
    <col min="13" max="20" width="9.140625" hidden="1" customWidth="1"/>
    <col min="21" max="21" width="28.28515625" hidden="1" customWidth="1"/>
    <col min="22" max="22" width="12.5703125" hidden="1" customWidth="1"/>
    <col min="23" max="16384" width="9.140625" hidden="1"/>
  </cols>
  <sheetData>
    <row r="2" spans="1:15" ht="18.75" x14ac:dyDescent="0.25">
      <c r="A2" s="78" t="s">
        <v>585</v>
      </c>
      <c r="B2" s="78"/>
      <c r="C2" s="74"/>
      <c r="D2" s="78" t="s">
        <v>584</v>
      </c>
      <c r="E2" s="78"/>
      <c r="F2" s="33"/>
      <c r="G2" s="33"/>
      <c r="H2" s="33"/>
      <c r="N2" s="79"/>
      <c r="O2" s="80"/>
    </row>
    <row r="3" spans="1:15" ht="15.75" x14ac:dyDescent="0.25">
      <c r="A3" s="71" t="s">
        <v>2</v>
      </c>
      <c r="B3" s="47" t="s">
        <v>580</v>
      </c>
      <c r="C3" s="47"/>
      <c r="D3" s="71" t="s">
        <v>53</v>
      </c>
      <c r="E3" s="47" t="s">
        <v>583</v>
      </c>
    </row>
    <row r="4" spans="1:15" ht="18.75" x14ac:dyDescent="0.25">
      <c r="A4" s="75" t="s">
        <v>34</v>
      </c>
      <c r="B4" s="76">
        <v>292058.8</v>
      </c>
      <c r="C4" s="47"/>
      <c r="D4" s="72" t="s">
        <v>568</v>
      </c>
      <c r="E4" s="73">
        <v>1292797</v>
      </c>
      <c r="N4" s="79"/>
      <c r="O4" s="80"/>
    </row>
    <row r="5" spans="1:15" ht="15.75" x14ac:dyDescent="0.25">
      <c r="A5" s="75" t="s">
        <v>18</v>
      </c>
      <c r="B5" s="76">
        <v>1340000.5</v>
      </c>
      <c r="C5" s="47"/>
      <c r="D5" s="72" t="s">
        <v>569</v>
      </c>
      <c r="E5" s="73">
        <v>1389287.3</v>
      </c>
    </row>
    <row r="6" spans="1:15" ht="18.75" x14ac:dyDescent="0.25">
      <c r="A6" s="75" t="s">
        <v>12</v>
      </c>
      <c r="B6" s="76">
        <v>22141.3</v>
      </c>
      <c r="C6" s="47"/>
      <c r="D6" s="72" t="s">
        <v>570</v>
      </c>
      <c r="E6" s="73">
        <v>1456573.8</v>
      </c>
      <c r="N6" s="79"/>
      <c r="O6" s="80"/>
    </row>
    <row r="7" spans="1:15" ht="15.75" x14ac:dyDescent="0.25">
      <c r="A7" s="75" t="s">
        <v>21</v>
      </c>
      <c r="B7" s="76">
        <v>157755.79999999999</v>
      </c>
      <c r="C7" s="47"/>
      <c r="D7" s="72" t="s">
        <v>571</v>
      </c>
      <c r="E7" s="73">
        <v>1523319</v>
      </c>
    </row>
    <row r="8" spans="1:15" ht="15.75" x14ac:dyDescent="0.25">
      <c r="A8" s="75" t="s">
        <v>15</v>
      </c>
      <c r="B8" s="76">
        <v>371121.30000000005</v>
      </c>
      <c r="C8" s="47"/>
      <c r="D8" s="72" t="s">
        <v>572</v>
      </c>
      <c r="E8" s="73">
        <v>2109035</v>
      </c>
    </row>
    <row r="9" spans="1:15" ht="15.75" x14ac:dyDescent="0.25">
      <c r="A9" s="75" t="s">
        <v>45</v>
      </c>
      <c r="B9" s="76">
        <v>887165.1</v>
      </c>
      <c r="C9" s="47"/>
      <c r="D9" s="72" t="s">
        <v>573</v>
      </c>
      <c r="E9" s="73">
        <v>1588982.2</v>
      </c>
    </row>
    <row r="10" spans="1:15" ht="15.75" x14ac:dyDescent="0.25">
      <c r="A10" s="75" t="s">
        <v>7</v>
      </c>
      <c r="B10" s="76">
        <v>3240637.1999999997</v>
      </c>
      <c r="C10" s="47"/>
      <c r="D10" s="72" t="s">
        <v>574</v>
      </c>
      <c r="E10" s="73">
        <v>1945034</v>
      </c>
    </row>
    <row r="11" spans="1:15" ht="15.75" x14ac:dyDescent="0.25">
      <c r="A11" s="72" t="s">
        <v>567</v>
      </c>
      <c r="B11" s="73">
        <v>6310880</v>
      </c>
      <c r="C11" s="47"/>
      <c r="D11" s="72" t="s">
        <v>575</v>
      </c>
      <c r="E11" s="73">
        <v>1587639.9000000001</v>
      </c>
    </row>
    <row r="12" spans="1:15" ht="15.75" x14ac:dyDescent="0.25">
      <c r="A12" s="47"/>
      <c r="B12" s="47"/>
      <c r="C12" s="47"/>
      <c r="D12" s="72" t="s">
        <v>576</v>
      </c>
      <c r="E12" s="73">
        <v>2193722.9</v>
      </c>
    </row>
    <row r="13" spans="1:15" ht="15.75" x14ac:dyDescent="0.25">
      <c r="A13" s="78" t="s">
        <v>586</v>
      </c>
      <c r="B13" s="78"/>
      <c r="C13" s="47"/>
      <c r="D13" s="72" t="s">
        <v>577</v>
      </c>
      <c r="E13" s="73">
        <v>2343845.8000000003</v>
      </c>
    </row>
    <row r="14" spans="1:15" ht="15.75" x14ac:dyDescent="0.25">
      <c r="A14" s="71" t="s">
        <v>582</v>
      </c>
      <c r="B14" s="47" t="s">
        <v>580</v>
      </c>
      <c r="C14" s="47"/>
      <c r="D14" s="72" t="s">
        <v>578</v>
      </c>
      <c r="E14" s="73">
        <v>1621639.8</v>
      </c>
    </row>
    <row r="15" spans="1:15" ht="15.75" x14ac:dyDescent="0.25">
      <c r="A15" s="72" t="s">
        <v>44</v>
      </c>
      <c r="B15" s="73">
        <v>887165.1</v>
      </c>
      <c r="C15" s="47"/>
      <c r="D15" s="72" t="s">
        <v>579</v>
      </c>
      <c r="E15" s="73">
        <v>2424853.2999999998</v>
      </c>
    </row>
    <row r="16" spans="1:15" ht="15.75" x14ac:dyDescent="0.25">
      <c r="A16" s="72" t="s">
        <v>23</v>
      </c>
      <c r="B16" s="73">
        <v>837338.70000000007</v>
      </c>
      <c r="C16" s="47"/>
      <c r="D16" s="72" t="s">
        <v>567</v>
      </c>
      <c r="E16" s="73">
        <v>21476730</v>
      </c>
    </row>
    <row r="17" spans="1:5" ht="15.75" x14ac:dyDescent="0.25">
      <c r="A17" s="72" t="s">
        <v>17</v>
      </c>
      <c r="B17" s="73">
        <v>597430.79999999993</v>
      </c>
      <c r="C17" s="47"/>
      <c r="D17" s="47"/>
      <c r="E17" s="47"/>
    </row>
    <row r="18" spans="1:5" ht="15.75" x14ac:dyDescent="0.25">
      <c r="A18" s="72" t="s">
        <v>36</v>
      </c>
      <c r="B18" s="73">
        <v>515743.2</v>
      </c>
      <c r="C18" s="47"/>
      <c r="D18" s="47"/>
      <c r="E18" s="47"/>
    </row>
    <row r="19" spans="1:5" ht="15.75" x14ac:dyDescent="0.25">
      <c r="A19" s="72" t="s">
        <v>9</v>
      </c>
      <c r="B19" s="73">
        <v>507233.9</v>
      </c>
      <c r="C19" s="47"/>
      <c r="D19" s="47"/>
      <c r="E19" s="47"/>
    </row>
    <row r="20" spans="1:5" ht="15.75" x14ac:dyDescent="0.25">
      <c r="A20" s="72" t="s">
        <v>567</v>
      </c>
      <c r="B20" s="73">
        <v>3344911.7</v>
      </c>
      <c r="C20" s="47"/>
      <c r="D20" s="47"/>
      <c r="E20" s="47"/>
    </row>
    <row r="21" spans="1:5" ht="15.75" x14ac:dyDescent="0.25">
      <c r="A21" s="47"/>
      <c r="B21" s="47"/>
      <c r="C21" s="47"/>
      <c r="D21" s="47"/>
      <c r="E21" s="4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</sheetData>
  <sheetProtection autoFilter="0" pivotTables="0"/>
  <mergeCells count="6">
    <mergeCell ref="A13:B13"/>
    <mergeCell ref="A2:B2"/>
    <mergeCell ref="D2:E2"/>
    <mergeCell ref="N2:O2"/>
    <mergeCell ref="N4:O4"/>
    <mergeCell ref="N6:O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491C-D08B-463F-9561-632590D20F46}">
  <dimension ref="A1:I21"/>
  <sheetViews>
    <sheetView workbookViewId="0">
      <selection activeCell="F15" sqref="F15"/>
    </sheetView>
  </sheetViews>
  <sheetFormatPr defaultColWidth="0" defaultRowHeight="15" zeroHeight="1" x14ac:dyDescent="0.25"/>
  <cols>
    <col min="1" max="1" width="7" customWidth="1"/>
    <col min="2" max="2" width="31.5703125" bestFit="1" customWidth="1"/>
    <col min="3" max="3" width="15.28515625" bestFit="1" customWidth="1"/>
    <col min="4" max="4" width="11.42578125" bestFit="1" customWidth="1"/>
    <col min="5" max="5" width="18.28515625" bestFit="1" customWidth="1"/>
    <col min="6" max="6" width="11.7109375" customWidth="1"/>
    <col min="7" max="7" width="9.28515625" hidden="1" customWidth="1"/>
    <col min="8" max="9" width="13.42578125" hidden="1" customWidth="1"/>
    <col min="10" max="16384" width="9.140625" hidden="1"/>
  </cols>
  <sheetData>
    <row r="1" spans="1:9" ht="22.5" x14ac:dyDescent="0.3">
      <c r="B1" s="77" t="s">
        <v>587</v>
      </c>
      <c r="C1" s="77"/>
      <c r="D1" s="77"/>
      <c r="E1" s="77"/>
    </row>
    <row r="2" spans="1:9" ht="20.25" x14ac:dyDescent="0.3">
      <c r="A2" s="10"/>
      <c r="B2" s="81" t="s">
        <v>592</v>
      </c>
      <c r="C2" s="81"/>
      <c r="D2" s="81"/>
      <c r="E2" s="81"/>
    </row>
    <row r="3" spans="1:9" ht="18.75" x14ac:dyDescent="0.25">
      <c r="B3" s="55" t="s">
        <v>603</v>
      </c>
      <c r="C3" s="56"/>
      <c r="D3" s="56"/>
      <c r="E3" s="57"/>
    </row>
    <row r="4" spans="1:9" ht="18.75" x14ac:dyDescent="0.3">
      <c r="A4" s="41"/>
      <c r="B4" s="53" t="s">
        <v>588</v>
      </c>
      <c r="C4" s="54" t="s">
        <v>589</v>
      </c>
      <c r="D4" s="50"/>
      <c r="E4" s="52"/>
      <c r="F4" s="41"/>
    </row>
    <row r="5" spans="1:9" ht="18.75" x14ac:dyDescent="0.3">
      <c r="B5" s="62" t="s">
        <v>590</v>
      </c>
      <c r="C5" s="63">
        <f>AVERAGE(ТаблицаПродажи[Скидка %])</f>
        <v>5.7319999999999864E-2</v>
      </c>
      <c r="D5" s="64"/>
      <c r="E5" s="64"/>
    </row>
    <row r="6" spans="1:9" ht="18.75" x14ac:dyDescent="0.3">
      <c r="A6" s="41"/>
      <c r="B6" s="62" t="s">
        <v>591</v>
      </c>
      <c r="C6" s="65">
        <f>COUNTA(ТаблицаПродажи[ID заказа])/12</f>
        <v>41.666666666666664</v>
      </c>
      <c r="D6" s="66"/>
      <c r="E6" s="64"/>
      <c r="F6" s="41"/>
      <c r="G6" s="41"/>
      <c r="H6" s="41"/>
      <c r="I6" s="41"/>
    </row>
    <row r="7" spans="1:9" ht="18.75" x14ac:dyDescent="0.3">
      <c r="B7" s="62" t="s">
        <v>63</v>
      </c>
      <c r="C7" s="67">
        <f>AVERAGE(ТаблицаПродажи[Выручка])</f>
        <v>41340.538599999978</v>
      </c>
      <c r="D7" s="68"/>
      <c r="E7" s="64"/>
      <c r="F7" s="41"/>
      <c r="G7" s="45"/>
      <c r="H7" s="46"/>
      <c r="I7" s="44"/>
    </row>
    <row r="8" spans="1:9" ht="18.75" x14ac:dyDescent="0.3">
      <c r="B8" s="62" t="s">
        <v>602</v>
      </c>
      <c r="C8" s="63">
        <f>AVERAGE(ТаблицаПродажи[Маржа %])</f>
        <v>0.34115685279970681</v>
      </c>
      <c r="D8" s="68"/>
      <c r="E8" s="64"/>
      <c r="F8" s="41"/>
      <c r="G8" s="45"/>
      <c r="H8" s="46"/>
      <c r="I8" s="44"/>
    </row>
    <row r="9" spans="1:9" ht="18.75" x14ac:dyDescent="0.3">
      <c r="B9" s="43"/>
      <c r="C9" s="48"/>
      <c r="D9" s="43"/>
      <c r="E9" s="42"/>
      <c r="F9" s="41"/>
      <c r="G9" s="45"/>
      <c r="H9" s="46"/>
      <c r="I9" s="44"/>
    </row>
    <row r="10" spans="1:9" ht="18.75" x14ac:dyDescent="0.3">
      <c r="B10" s="55" t="s">
        <v>605</v>
      </c>
      <c r="C10" s="58"/>
      <c r="D10" s="59"/>
      <c r="E10" s="60"/>
    </row>
    <row r="11" spans="1:9" ht="18.75" x14ac:dyDescent="0.3">
      <c r="B11" s="53" t="s">
        <v>588</v>
      </c>
      <c r="C11" s="53" t="s">
        <v>589</v>
      </c>
      <c r="D11" s="51"/>
      <c r="E11" s="52"/>
    </row>
    <row r="12" spans="1:9" ht="18.75" x14ac:dyDescent="0.3">
      <c r="B12" s="62" t="s">
        <v>593</v>
      </c>
      <c r="C12" s="69">
        <f>C6*C7</f>
        <v>1722522.4416666657</v>
      </c>
      <c r="D12" s="64"/>
      <c r="E12" s="64"/>
    </row>
    <row r="13" spans="1:9" ht="18.75" x14ac:dyDescent="0.3">
      <c r="B13" s="62" t="s">
        <v>594</v>
      </c>
      <c r="C13" s="69">
        <f>C12*(1-C5)*C8</f>
        <v>553966.21786931774</v>
      </c>
      <c r="D13" s="64"/>
      <c r="E13" s="64"/>
    </row>
    <row r="14" spans="1:9" ht="18.75" x14ac:dyDescent="0.3">
      <c r="B14" s="43"/>
      <c r="C14" s="49"/>
      <c r="D14" s="42"/>
      <c r="E14" s="42"/>
    </row>
    <row r="15" spans="1:9" ht="18.75" x14ac:dyDescent="0.3">
      <c r="B15" s="55" t="s">
        <v>604</v>
      </c>
      <c r="C15" s="61"/>
      <c r="D15" s="60"/>
      <c r="E15" s="60"/>
    </row>
    <row r="16" spans="1:9" ht="15.75" x14ac:dyDescent="0.25">
      <c r="B16" s="53" t="s">
        <v>595</v>
      </c>
      <c r="C16" s="53" t="s">
        <v>596</v>
      </c>
      <c r="D16" s="53" t="s">
        <v>597</v>
      </c>
      <c r="E16" s="53" t="s">
        <v>598</v>
      </c>
    </row>
    <row r="17" spans="2:5" ht="15.75" x14ac:dyDescent="0.25">
      <c r="B17" s="62" t="s">
        <v>599</v>
      </c>
      <c r="C17" s="63">
        <f>$C$5+0.05</f>
        <v>0.10731999999999986</v>
      </c>
      <c r="D17" s="65">
        <f>$C$6*0.8</f>
        <v>33.333333333333336</v>
      </c>
      <c r="E17" s="69">
        <f>(D17*$C$7)*(1-C17)*$C$8</f>
        <v>419666.96089241951</v>
      </c>
    </row>
    <row r="18" spans="2:5" ht="15.75" x14ac:dyDescent="0.25">
      <c r="B18" s="62" t="s">
        <v>600</v>
      </c>
      <c r="C18" s="70">
        <f>$C$5</f>
        <v>5.7319999999999864E-2</v>
      </c>
      <c r="D18" s="65">
        <f>$C$6</f>
        <v>41.666666666666664</v>
      </c>
      <c r="E18" s="69">
        <f>$C$13</f>
        <v>553966.21786931774</v>
      </c>
    </row>
    <row r="19" spans="2:5" ht="15.75" x14ac:dyDescent="0.25">
      <c r="B19" s="62" t="s">
        <v>601</v>
      </c>
      <c r="C19" s="70">
        <f>$C$5-0.03</f>
        <v>2.7319999999999865E-2</v>
      </c>
      <c r="D19" s="65">
        <f>$C$6*1.25</f>
        <v>52.083333333333329</v>
      </c>
      <c r="E19" s="69">
        <f>(D19*$C$7)*(1-C19)*$C$8</f>
        <v>714494.65990199207</v>
      </c>
    </row>
    <row r="20" spans="2:5" x14ac:dyDescent="0.25">
      <c r="B20" s="41"/>
      <c r="C20" s="45"/>
      <c r="D20" s="46"/>
      <c r="E20" s="44"/>
    </row>
    <row r="21" spans="2:5" hidden="1" x14ac:dyDescent="0.25">
      <c r="B21" s="41"/>
      <c r="C21" s="45"/>
      <c r="D21" s="46"/>
      <c r="E21" s="44"/>
    </row>
  </sheetData>
  <mergeCells count="2">
    <mergeCell ref="B1:E1"/>
    <mergeCell ref="B2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Дашборд</vt:lpstr>
      <vt:lpstr>Продажи</vt:lpstr>
      <vt:lpstr>Товары</vt:lpstr>
      <vt:lpstr>Анализ</vt:lpstr>
      <vt:lpstr>Сценарии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Мурлыкина</dc:creator>
  <cp:lastModifiedBy>Мария Мурлыка</cp:lastModifiedBy>
  <dcterms:created xsi:type="dcterms:W3CDTF">2015-06-05T18:19:34Z</dcterms:created>
  <dcterms:modified xsi:type="dcterms:W3CDTF">2025-12-07T15:02:48Z</dcterms:modified>
</cp:coreProperties>
</file>