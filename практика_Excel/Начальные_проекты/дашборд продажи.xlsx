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Мурлыкина\OneDrive\Desktop\Кейсы\кейс 1\"/>
    </mc:Choice>
  </mc:AlternateContent>
  <xr:revisionPtr revIDLastSave="0" documentId="13_ncr:1_{27466D6C-5236-48D2-8856-D2CCD1A6D3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Дашборд Продажи" sheetId="3" r:id="rId1"/>
    <sheet name="Данные Продаж" sheetId="1" r:id="rId2"/>
    <sheet name="Анализ продаж" sheetId="2" r:id="rId3"/>
  </sheets>
  <definedNames>
    <definedName name="ВстроеннаяВременнаяШкала_Дата">#N/A</definedName>
    <definedName name="Срез_Менеджер">#N/A</definedName>
    <definedName name="Срез_Регион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</calcChain>
</file>

<file path=xl/sharedStrings.xml><?xml version="1.0" encoding="utf-8"?>
<sst xmlns="http://schemas.openxmlformats.org/spreadsheetml/2006/main" count="181" uniqueCount="28">
  <si>
    <t>Дата</t>
  </si>
  <si>
    <t>Регион</t>
  </si>
  <si>
    <t>Менеджер</t>
  </si>
  <si>
    <t>Количество</t>
  </si>
  <si>
    <t>Цена_за_шт</t>
  </si>
  <si>
    <t>Сумма</t>
  </si>
  <si>
    <t>Центральный</t>
  </si>
  <si>
    <t>Иванова А.</t>
  </si>
  <si>
    <t>Электроника</t>
  </si>
  <si>
    <t>Сибирский</t>
  </si>
  <si>
    <t>Сидорова М.</t>
  </si>
  <si>
    <t>Бытовая техника</t>
  </si>
  <si>
    <t>Северо-Западный</t>
  </si>
  <si>
    <t>Кузнецов В.</t>
  </si>
  <si>
    <t>Одежда</t>
  </si>
  <si>
    <t>Петров С.</t>
  </si>
  <si>
    <t>Книги</t>
  </si>
  <si>
    <t>Категория товара</t>
  </si>
  <si>
    <t>Общий итог</t>
  </si>
  <si>
    <t>мар</t>
  </si>
  <si>
    <t>апр</t>
  </si>
  <si>
    <t>Итог</t>
  </si>
  <si>
    <t>менеджер</t>
  </si>
  <si>
    <t>Продажи по месяцам</t>
  </si>
  <si>
    <t>Продажи по менеджерам</t>
  </si>
  <si>
    <t>Продажи по категориям</t>
  </si>
  <si>
    <t>Интерактивный дашборд продаж</t>
  </si>
  <si>
    <t>Компания "Stellar Goods" | Данные за март-апрель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</si>
</sst>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6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2" fillId="0" borderId="5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14" fontId="2" fillId="0" borderId="7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centerContinuous"/>
    </xf>
    <xf numFmtId="164" fontId="0" fillId="0" borderId="0" xfId="0" applyNumberFormat="1"/>
    <xf numFmtId="164" fontId="0" fillId="3" borderId="0" xfId="0" applyNumberFormat="1" applyFill="1"/>
    <xf numFmtId="0" fontId="0" fillId="5" borderId="0" xfId="0" applyFill="1"/>
    <xf numFmtId="0" fontId="5" fillId="2" borderId="0" xfId="0" applyFont="1" applyFill="1" applyAlignment="1">
      <alignment horizontal="center" vertical="center" readingOrder="1"/>
    </xf>
    <xf numFmtId="0" fontId="0" fillId="3" borderId="0" xfId="0" applyFill="1" applyAlignment="1"/>
    <xf numFmtId="0" fontId="0" fillId="0" borderId="0" xfId="0" applyAlignment="1"/>
    <xf numFmtId="0" fontId="0" fillId="6" borderId="0" xfId="0" applyFill="1"/>
  </cellXfs>
  <cellStyles count="1">
    <cellStyle name="Обычный" xfId="0" builtinId="0"/>
  </cellStyles>
  <dxfs count="300"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#,##0\ &quot;₽&quot;"/>
    </dxf>
    <dxf>
      <alignment horizontal="right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general"/>
    </dxf>
    <dxf>
      <alignment horizontal="general"/>
    </dxf>
    <dxf>
      <alignment horizontal="general"/>
    </dxf>
    <dxf>
      <numFmt numFmtId="164" formatCode="#,##0\ &quot;₽&quot;"/>
    </dxf>
    <dxf>
      <numFmt numFmtId="164" formatCode="#,##0\ &quot;₽&quot;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right"/>
    </dxf>
    <dxf>
      <numFmt numFmtId="164" formatCode="#,##0\ &quot;₽&quot;"/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right"/>
    </dxf>
    <dxf>
      <numFmt numFmtId="164" formatCode="#,##0\ &quot;₽&quot;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1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9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[Дашбор.xlsx]Анализ продаж!Сводная таблица1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ru-RU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по месяцам</a:t>
            </a:r>
          </a:p>
        </c:rich>
      </c:tx>
      <c:layout>
        <c:manualLayout>
          <c:xMode val="edge"/>
          <c:yMode val="edge"/>
          <c:x val="0.39320485624228479"/>
          <c:y val="0.12338637740212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'Анализ продаж'!$B$2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'Анализ продаж'!$A$3:$A$5</c:f>
              <c:strCache>
                <c:ptCount val="2"/>
                <c:pt idx="0">
                  <c:v>мар</c:v>
                </c:pt>
                <c:pt idx="1">
                  <c:v>апр</c:v>
                </c:pt>
              </c:strCache>
            </c:strRef>
          </c:cat>
          <c:val>
            <c:numRef>
              <c:f>'Анализ продаж'!$B$3:$B$5</c:f>
              <c:numCache>
                <c:formatCode>#\ ##0\ "₽"</c:formatCode>
                <c:ptCount val="2"/>
                <c:pt idx="0">
                  <c:v>463800</c:v>
                </c:pt>
                <c:pt idx="1">
                  <c:v>857960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1-4179-A0C2-51EFF66443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3950607"/>
        <c:axId val="643942927"/>
      </c:barChart>
      <c:catAx>
        <c:axId val="64395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942927"/>
        <c:crosses val="autoZero"/>
        <c:auto val="1"/>
        <c:lblAlgn val="ctr"/>
        <c:lblOffset val="100"/>
        <c:noMultiLvlLbl val="0"/>
      </c:catAx>
      <c:valAx>
        <c:axId val="643942927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95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[Дашбор.xlsx]Анализ продаж!Сводная таблица2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ru-RU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по менеджерам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7941667149028134"/>
              <c:y val="-7.7061872642265553E-3"/>
            </c:manualLayout>
          </c:layout>
          <c:tx>
            <c:rich>
              <a:bodyPr/>
              <a:lstStyle/>
              <a:p>
                <a:fld id="{2714DC9A-3419-4513-B522-4C7754C99102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42F9F598-6D08-4EB4-8244-7CDAFE8044B3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B343C14C-3379-4E3D-9C2B-947956771F4D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layout>
            <c:manualLayout>
              <c:x val="8.7239855821181142E-3"/>
              <c:y val="3.4696469392938696E-2"/>
            </c:manualLayout>
          </c:layout>
          <c:tx>
            <c:rich>
              <a:bodyPr/>
              <a:lstStyle/>
              <a:p>
                <a:fld id="{5F0FE2F6-4880-4A07-9B8E-415CDB939CD0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BF31B9FE-2768-43A7-9EE5-4C5D717B74F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6825C608-052A-4658-9D27-8A2508C17DD0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layout>
            <c:manualLayout>
              <c:x val="8.5733013279664719E-3"/>
              <c:y val="7.3269927280595309E-2"/>
            </c:manualLayout>
          </c:layout>
          <c:tx>
            <c:rich>
              <a:bodyPr/>
              <a:lstStyle/>
              <a:p>
                <a:fld id="{C7E31392-8ABB-4C3F-8593-C62060360DA9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0D495811-81B6-491A-A535-4272A0BE27A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7FEE47DB-3065-42A8-901D-0AAC93DCAEB2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59517351069229"/>
                  <c:h val="0.17921146953405021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-4.6725476489155308E-2"/>
              <c:y val="-5.7346541359749384E-2"/>
            </c:manualLayout>
          </c:layout>
          <c:tx>
            <c:rich>
              <a:bodyPr/>
              <a:lstStyle/>
              <a:p>
                <a:fld id="{33AE27B6-652F-4CD4-B3D5-801C0BAC1054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C51994C3-369F-4B15-8F46-8E0F96E7B4B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DBB677D4-888E-40F4-AF2C-5138E401810B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8.7239855821181142E-3"/>
              <c:y val="3.4696469392938696E-2"/>
            </c:manualLayout>
          </c:layout>
          <c:tx>
            <c:rich>
              <a:bodyPr/>
              <a:lstStyle/>
              <a:p>
                <a:fld id="{5F0FE2F6-4880-4A07-9B8E-415CDB939CD0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BF31B9FE-2768-43A7-9EE5-4C5D717B74F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6825C608-052A-4658-9D27-8A2508C17DD0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0.17941667149028134"/>
              <c:y val="-7.7061872642265553E-3"/>
            </c:manualLayout>
          </c:layout>
          <c:tx>
            <c:rich>
              <a:bodyPr/>
              <a:lstStyle/>
              <a:p>
                <a:fld id="{2714DC9A-3419-4513-B522-4C7754C99102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42F9F598-6D08-4EB4-8244-7CDAFE8044B3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B343C14C-3379-4E3D-9C2B-947956771F4D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dLbl>
          <c:idx val="0"/>
          <c:layout>
            <c:manualLayout>
              <c:x val="-4.6725476489155308E-2"/>
              <c:y val="-5.7346541359749384E-2"/>
            </c:manualLayout>
          </c:layout>
          <c:tx>
            <c:rich>
              <a:bodyPr/>
              <a:lstStyle/>
              <a:p>
                <a:fld id="{33AE27B6-652F-4CD4-B3D5-801C0BAC1054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C51994C3-369F-4B15-8F46-8E0F96E7B4B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DBB677D4-888E-40F4-AF2C-5138E401810B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dLbl>
          <c:idx val="0"/>
          <c:layout>
            <c:manualLayout>
              <c:x val="8.5733013279664719E-3"/>
              <c:y val="7.3269927280595309E-2"/>
            </c:manualLayout>
          </c:layout>
          <c:tx>
            <c:rich>
              <a:bodyPr/>
              <a:lstStyle/>
              <a:p>
                <a:fld id="{C7E31392-8ABB-4C3F-8593-C62060360DA9}" type="CATEGORYNAME">
                  <a:rPr lang="ru-RU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[ИМЯ КАТЕГОРИИ]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0D495811-81B6-491A-A535-4272A0BE27A2}" type="VALU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[ЗНАЧЕНИЕ]</a:t>
                </a:fld>
                <a:r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; </a:t>
                </a:r>
                <a:fld id="{7FEE47DB-3065-42A8-901D-0AAC93DCAEB2}" type="PERCENTAGE">
                  <a:rPr lang="ru-RU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/>
                  <a:t>[ПРОЦЕНТ]</a:t>
                </a:fld>
                <a:endParaRPr lang="ru-RU" sz="10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59517351069229"/>
                  <c:h val="0.17921146953405021"/>
                </c:manualLayout>
              </c15:layout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67943949340733E-2"/>
              <c:y val="-2.737048741019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307753935385246"/>
                  <c:h val="8.4046216285096134E-2"/>
                </c:manualLayout>
              </c15:layout>
            </c:ext>
          </c:extLst>
        </c:dLbl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6421358976496624E-2"/>
              <c:y val="2.7370487410191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400786121826449"/>
                  <c:h val="8.4046216285096134E-2"/>
                </c:manualLayout>
              </c15:layout>
            </c:ext>
          </c:extLst>
        </c:dLbl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839326473459461E-2"/>
              <c:y val="3.128055704021891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842608426955362"/>
                  <c:h val="8.4046216285096134E-2"/>
                </c:manualLayout>
              </c15:layout>
            </c:ext>
          </c:extLst>
        </c:dLbl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064538232741614E-2"/>
              <c:y val="-1.955034815013682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4316687281361396"/>
                  <c:h val="8.4046216285096134E-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'Анализ продаж'!$F$2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1-467B-85FC-C972B00D7D8B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1-467B-85FC-C972B00D7D8B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D1-467B-85FC-C972B00D7D8B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D1-467B-85FC-C972B00D7D8B}"/>
              </c:ext>
            </c:extLst>
          </c:dPt>
          <c:dLbls>
            <c:dLbl>
              <c:idx val="0"/>
              <c:layout>
                <c:manualLayout>
                  <c:x val="7.567943949340733E-2"/>
                  <c:y val="-2.73704874101915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07753935385246"/>
                      <c:h val="8.4046216285096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D1-467B-85FC-C972B00D7D8B}"/>
                </c:ext>
              </c:extLst>
            </c:dLbl>
            <c:dLbl>
              <c:idx val="1"/>
              <c:layout>
                <c:manualLayout>
                  <c:x val="5.6421358976496624E-2"/>
                  <c:y val="2.73704874101915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0786121826449"/>
                      <c:h val="8.4046216285096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CD1-467B-85FC-C972B00D7D8B}"/>
                </c:ext>
              </c:extLst>
            </c:dLbl>
            <c:dLbl>
              <c:idx val="2"/>
              <c:layout>
                <c:manualLayout>
                  <c:x val="-5.5839326473459461E-2"/>
                  <c:y val="3.128055704021891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42608426955362"/>
                      <c:h val="8.4046216285096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CD1-467B-85FC-C972B00D7D8B}"/>
                </c:ext>
              </c:extLst>
            </c:dLbl>
            <c:dLbl>
              <c:idx val="3"/>
              <c:layout>
                <c:manualLayout>
                  <c:x val="-4.0064538232741614E-2"/>
                  <c:y val="-1.955034815013682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16687281361396"/>
                      <c:h val="8.4046216285096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CD1-467B-85FC-C972B00D7D8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'Анализ продаж'!$E$3:$E$7</c:f>
              <c:strCache>
                <c:ptCount val="4"/>
                <c:pt idx="0">
                  <c:v>Иванова А.</c:v>
                </c:pt>
                <c:pt idx="1">
                  <c:v>Кузнецов В.</c:v>
                </c:pt>
                <c:pt idx="2">
                  <c:v>Петров С.</c:v>
                </c:pt>
                <c:pt idx="3">
                  <c:v>Сидорова М.</c:v>
                </c:pt>
              </c:strCache>
            </c:strRef>
          </c:cat>
          <c:val>
            <c:numRef>
              <c:f>'Анализ продаж'!$F$3:$F$7</c:f>
              <c:numCache>
                <c:formatCode>#\ ##0\ "₽"</c:formatCode>
                <c:ptCount val="4"/>
                <c:pt idx="0">
                  <c:v>539480</c:v>
                </c:pt>
                <c:pt idx="1">
                  <c:v>186850</c:v>
                </c:pt>
                <c:pt idx="2">
                  <c:v>271360</c:v>
                </c:pt>
                <c:pt idx="3">
                  <c:v>324070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D1-467B-85FC-C972B00D7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[Дашбор.xlsx]Анализ продаж!Сводная таблица3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по</a:t>
            </a:r>
            <a:r>
              <a:rPr lang="ru-RU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категориям товара</a:t>
            </a:r>
            <a:endParaRPr lang="ru-RU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890562166658831"/>
          <c:y val="8.0755308430048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'Анализ продаж'!$J$2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'Анализ продаж'!$I$3:$I$7</c:f>
              <c:strCache>
                <c:ptCount val="4"/>
                <c:pt idx="0">
                  <c:v>Бытовая техника</c:v>
                </c:pt>
                <c:pt idx="1">
                  <c:v>Книги</c:v>
                </c:pt>
                <c:pt idx="2">
                  <c:v>Одежда</c:v>
                </c:pt>
                <c:pt idx="3">
                  <c:v>Электроника</c:v>
                </c:pt>
              </c:strCache>
            </c:strRef>
          </c:cat>
          <c:val>
            <c:numRef>
              <c:f>'Анализ продаж'!$J$3:$J$7</c:f>
              <c:numCache>
                <c:formatCode>#\ ##0\ "₽"</c:formatCode>
                <c:ptCount val="4"/>
                <c:pt idx="0">
                  <c:v>317500</c:v>
                </c:pt>
                <c:pt idx="1">
                  <c:v>43960</c:v>
                </c:pt>
                <c:pt idx="2">
                  <c:v>77300</c:v>
                </c:pt>
                <c:pt idx="3">
                  <c:v>883000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2-4DF9-B7E6-D376902F0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46302143"/>
        <c:axId val="646302623"/>
      </c:barChart>
      <c:catAx>
        <c:axId val="6463021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302623"/>
        <c:crosses val="autoZero"/>
        <c:auto val="1"/>
        <c:lblAlgn val="ctr"/>
        <c:lblOffset val="100"/>
        <c:noMultiLvlLbl val="0"/>
      </c:catAx>
      <c:valAx>
        <c:axId val="646302623"/>
        <c:scaling>
          <c:orientation val="minMax"/>
        </c:scaling>
        <c:delete val="1"/>
        <c:axPos val="b"/>
        <c:numFmt formatCode="#\ ##0\ &quot;₽&quot;" sourceLinked="1"/>
        <c:majorTickMark val="out"/>
        <c:minorTickMark val="none"/>
        <c:tickLblPos val="nextTo"/>
        <c:crossAx val="6463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30</xdr:col>
      <xdr:colOff>0</xdr:colOff>
      <xdr:row>9</xdr:row>
      <xdr:rowOff>161925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Дата 1">
              <a:extLst>
                <a:ext uri="{FF2B5EF4-FFF2-40B4-BE49-F238E27FC236}">
                  <a16:creationId xmlns:a16="http://schemas.microsoft.com/office/drawing/2014/main" id="{1461BC0D-ED0B-4A77-A123-0115E754C7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4350"/>
              <a:ext cx="57150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154782</xdr:rowOff>
    </xdr:from>
    <xdr:to>
      <xdr:col>7</xdr:col>
      <xdr:colOff>164308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Регион 1">
              <a:extLst>
                <a:ext uri="{FF2B5EF4-FFF2-40B4-BE49-F238E27FC236}">
                  <a16:creationId xmlns:a16="http://schemas.microsoft.com/office/drawing/2014/main" id="{1B714413-906B-4A8A-95B5-AD6D06D22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83582"/>
              <a:ext cx="1497808" cy="1807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38100</xdr:rowOff>
    </xdr:from>
    <xdr:to>
      <xdr:col>7</xdr:col>
      <xdr:colOff>171450</xdr:colOff>
      <xdr:row>30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Менеджер 1">
              <a:extLst>
                <a:ext uri="{FF2B5EF4-FFF2-40B4-BE49-F238E27FC236}">
                  <a16:creationId xmlns:a16="http://schemas.microsoft.com/office/drawing/2014/main" id="{70185AAF-0BBC-43EF-81F0-AD50109D9A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недже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71900"/>
              <a:ext cx="150495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9</xdr:row>
      <xdr:rowOff>171448</xdr:rowOff>
    </xdr:from>
    <xdr:to>
      <xdr:col>34</xdr:col>
      <xdr:colOff>76200</xdr:colOff>
      <xdr:row>29</xdr:row>
      <xdr:rowOff>190499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25FBDF2-E73E-4DB7-B645-35AFEB91B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85725</xdr:colOff>
      <xdr:row>9</xdr:row>
      <xdr:rowOff>180976</xdr:rowOff>
    </xdr:from>
    <xdr:to>
      <xdr:col>59</xdr:col>
      <xdr:colOff>190499</xdr:colOff>
      <xdr:row>29</xdr:row>
      <xdr:rowOff>180975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5E84734-279C-4994-A627-EC78B8E9D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9524</xdr:colOff>
      <xdr:row>0</xdr:row>
      <xdr:rowOff>0</xdr:rowOff>
    </xdr:from>
    <xdr:to>
      <xdr:col>59</xdr:col>
      <xdr:colOff>180975</xdr:colOff>
      <xdr:row>9</xdr:row>
      <xdr:rowOff>180975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8DCFDAD-5729-4A15-B1E4-9640A24E4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урлыкина" refreshedDate="45994.718306712966" createdVersion="8" refreshedVersion="8" minRefreshableVersion="3" recordCount="50" xr:uid="{5B5EF6ED-1544-4E8A-9B4C-944EB63E327F}">
  <cacheSource type="worksheet">
    <worksheetSource name="Таблица1"/>
  </cacheSource>
  <cacheFields count="9">
    <cacheField name="Дата" numFmtId="14">
      <sharedItems containsSemiMixedTypes="0" containsNonDate="0" containsDate="1" containsString="0" minDate="2024-03-01T00:00:00" maxDate="2025-05-31T00:00:00" count="5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5-05-30T00:00:00" u="1"/>
      </sharedItems>
      <fieldGroup par="8"/>
    </cacheField>
    <cacheField name="Регион" numFmtId="0">
      <sharedItems count="3">
        <s v="Центральный"/>
        <s v="Сибирский"/>
        <s v="Северо-Западный"/>
      </sharedItems>
    </cacheField>
    <cacheField name="Менеджер" numFmtId="0">
      <sharedItems count="4">
        <s v="Иванова А."/>
        <s v="Сидорова М."/>
        <s v="Кузнецов В."/>
        <s v="Петров С."/>
      </sharedItems>
    </cacheField>
    <cacheField name="Категория товара" numFmtId="0">
      <sharedItems count="4">
        <s v="Электроника"/>
        <s v="Бытовая техника"/>
        <s v="Одежда"/>
        <s v="Книги"/>
      </sharedItems>
    </cacheField>
    <cacheField name="Количество" numFmtId="0">
      <sharedItems containsSemiMixedTypes="0" containsString="0" containsNumber="1" containsInteger="1" minValue="1" maxValue="8"/>
    </cacheField>
    <cacheField name="Цена_за_шт" numFmtId="0">
      <sharedItems containsSemiMixedTypes="0" containsString="0" containsNumber="1" containsInteger="1" minValue="500" maxValue="58000"/>
    </cacheField>
    <cacheField name="Сумма" numFmtId="0">
      <sharedItems containsSemiMixedTypes="0" containsString="0" containsNumber="1" containsInteger="1" minValue="2600" maxValue="144000"/>
    </cacheField>
    <cacheField name="Дни (Дата)" numFmtId="0" databaseField="0">
      <fieldGroup base="0">
        <rangePr groupBy="days" startDate="2024-03-01T00:00:00" endDate="2024-05-01T00:00:00"/>
        <groupItems count="368">
          <s v="&lt;01.03.2024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5.2024"/>
        </groupItems>
      </fieldGroup>
    </cacheField>
    <cacheField name="Месяцы (Дата)" numFmtId="0" databaseField="0">
      <fieldGroup base="0">
        <rangePr groupBy="months" startDate="2024-03-01T00:00:00" endDate="2024-05-01T00:00:00"/>
        <groupItems count="14">
          <s v="&lt;01.03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5.2024"/>
        </groupItems>
      </fieldGroup>
    </cacheField>
  </cacheFields>
  <extLst>
    <ext xmlns:x14="http://schemas.microsoft.com/office/spreadsheetml/2009/9/main" uri="{725AE2AE-9491-48be-B2B4-4EB974FC3084}">
      <x14:pivotCacheDefinition pivotCacheId="13457694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n v="2"/>
    <n v="45000"/>
    <n v="90000"/>
  </r>
  <r>
    <x v="1"/>
    <x v="1"/>
    <x v="1"/>
    <x v="1"/>
    <n v="1"/>
    <n v="18000"/>
    <n v="18000"/>
  </r>
  <r>
    <x v="2"/>
    <x v="2"/>
    <x v="2"/>
    <x v="2"/>
    <n v="3"/>
    <n v="2500"/>
    <n v="7500"/>
  </r>
  <r>
    <x v="3"/>
    <x v="0"/>
    <x v="3"/>
    <x v="0"/>
    <n v="1"/>
    <n v="32000"/>
    <n v="32000"/>
  </r>
  <r>
    <x v="4"/>
    <x v="0"/>
    <x v="0"/>
    <x v="3"/>
    <n v="5"/>
    <n v="800"/>
    <n v="4000"/>
  </r>
  <r>
    <x v="5"/>
    <x v="1"/>
    <x v="1"/>
    <x v="2"/>
    <n v="2"/>
    <n v="3500"/>
    <n v="7000"/>
  </r>
  <r>
    <x v="6"/>
    <x v="2"/>
    <x v="2"/>
    <x v="1"/>
    <n v="1"/>
    <n v="22500"/>
    <n v="22500"/>
  </r>
  <r>
    <x v="7"/>
    <x v="0"/>
    <x v="3"/>
    <x v="3"/>
    <n v="4"/>
    <n v="650"/>
    <n v="2600"/>
  </r>
  <r>
    <x v="8"/>
    <x v="0"/>
    <x v="0"/>
    <x v="0"/>
    <n v="1"/>
    <n v="55000"/>
    <n v="55000"/>
  </r>
  <r>
    <x v="9"/>
    <x v="1"/>
    <x v="1"/>
    <x v="2"/>
    <n v="3"/>
    <n v="1800"/>
    <n v="5400"/>
  </r>
  <r>
    <x v="10"/>
    <x v="0"/>
    <x v="0"/>
    <x v="1"/>
    <n v="2"/>
    <n v="12000"/>
    <n v="24000"/>
  </r>
  <r>
    <x v="11"/>
    <x v="2"/>
    <x v="2"/>
    <x v="0"/>
    <n v="1"/>
    <n v="38000"/>
    <n v="38000"/>
  </r>
  <r>
    <x v="12"/>
    <x v="1"/>
    <x v="1"/>
    <x v="3"/>
    <n v="6"/>
    <n v="500"/>
    <n v="3000"/>
  </r>
  <r>
    <x v="13"/>
    <x v="0"/>
    <x v="3"/>
    <x v="2"/>
    <n v="4"/>
    <n v="2200"/>
    <n v="8800"/>
  </r>
  <r>
    <x v="14"/>
    <x v="0"/>
    <x v="0"/>
    <x v="1"/>
    <n v="1"/>
    <n v="29000"/>
    <n v="29000"/>
  </r>
  <r>
    <x v="15"/>
    <x v="2"/>
    <x v="2"/>
    <x v="3"/>
    <n v="3"/>
    <n v="950"/>
    <n v="2850"/>
  </r>
  <r>
    <x v="16"/>
    <x v="1"/>
    <x v="1"/>
    <x v="0"/>
    <n v="2"/>
    <n v="42000"/>
    <n v="84000"/>
  </r>
  <r>
    <x v="17"/>
    <x v="0"/>
    <x v="3"/>
    <x v="1"/>
    <n v="1"/>
    <n v="16500"/>
    <n v="16500"/>
  </r>
  <r>
    <x v="18"/>
    <x v="0"/>
    <x v="0"/>
    <x v="2"/>
    <n v="2"/>
    <n v="4200"/>
    <n v="8400"/>
  </r>
  <r>
    <x v="19"/>
    <x v="1"/>
    <x v="1"/>
    <x v="3"/>
    <n v="7"/>
    <n v="750"/>
    <n v="5250"/>
  </r>
  <r>
    <x v="20"/>
    <x v="0"/>
    <x v="0"/>
    <x v="0"/>
    <n v="3"/>
    <n v="48000"/>
    <n v="144000"/>
  </r>
  <r>
    <x v="21"/>
    <x v="2"/>
    <x v="2"/>
    <x v="1"/>
    <n v="2"/>
    <n v="14500"/>
    <n v="29000"/>
  </r>
  <r>
    <x v="22"/>
    <x v="0"/>
    <x v="3"/>
    <x v="2"/>
    <n v="1"/>
    <n v="3100"/>
    <n v="3100"/>
  </r>
  <r>
    <x v="23"/>
    <x v="1"/>
    <x v="1"/>
    <x v="0"/>
    <n v="1"/>
    <n v="51000"/>
    <n v="51000"/>
  </r>
  <r>
    <x v="24"/>
    <x v="0"/>
    <x v="0"/>
    <x v="3"/>
    <n v="4"/>
    <n v="880"/>
    <n v="3520"/>
  </r>
  <r>
    <x v="25"/>
    <x v="2"/>
    <x v="2"/>
    <x v="2"/>
    <n v="3"/>
    <n v="1900"/>
    <n v="5700"/>
  </r>
  <r>
    <x v="26"/>
    <x v="0"/>
    <x v="3"/>
    <x v="1"/>
    <n v="1"/>
    <n v="32000"/>
    <n v="32000"/>
  </r>
  <r>
    <x v="27"/>
    <x v="1"/>
    <x v="1"/>
    <x v="3"/>
    <n v="5"/>
    <n v="620"/>
    <n v="3100"/>
  </r>
  <r>
    <x v="28"/>
    <x v="0"/>
    <x v="0"/>
    <x v="0"/>
    <n v="2"/>
    <n v="39000"/>
    <n v="78000"/>
  </r>
  <r>
    <x v="29"/>
    <x v="2"/>
    <x v="2"/>
    <x v="2"/>
    <n v="2"/>
    <n v="2700"/>
    <n v="5400"/>
  </r>
  <r>
    <x v="30"/>
    <x v="0"/>
    <x v="3"/>
    <x v="1"/>
    <n v="3"/>
    <n v="11000"/>
    <n v="33000"/>
  </r>
  <r>
    <x v="31"/>
    <x v="1"/>
    <x v="1"/>
    <x v="0"/>
    <n v="1"/>
    <n v="47000"/>
    <n v="47000"/>
  </r>
  <r>
    <x v="32"/>
    <x v="0"/>
    <x v="0"/>
    <x v="3"/>
    <n v="8"/>
    <n v="550"/>
    <n v="4400"/>
  </r>
  <r>
    <x v="33"/>
    <x v="2"/>
    <x v="2"/>
    <x v="1"/>
    <n v="1"/>
    <n v="19500"/>
    <n v="19500"/>
  </r>
  <r>
    <x v="34"/>
    <x v="0"/>
    <x v="3"/>
    <x v="2"/>
    <n v="4"/>
    <n v="1650"/>
    <n v="6600"/>
  </r>
  <r>
    <x v="35"/>
    <x v="1"/>
    <x v="1"/>
    <x v="3"/>
    <n v="6"/>
    <n v="720"/>
    <n v="4320"/>
  </r>
  <r>
    <x v="36"/>
    <x v="0"/>
    <x v="0"/>
    <x v="0"/>
    <n v="1"/>
    <n v="58000"/>
    <n v="58000"/>
  </r>
  <r>
    <x v="37"/>
    <x v="0"/>
    <x v="3"/>
    <x v="1"/>
    <n v="2"/>
    <n v="13800"/>
    <n v="27600"/>
  </r>
  <r>
    <x v="38"/>
    <x v="2"/>
    <x v="2"/>
    <x v="2"/>
    <n v="1"/>
    <n v="4900"/>
    <n v="4900"/>
  </r>
  <r>
    <x v="39"/>
    <x v="1"/>
    <x v="1"/>
    <x v="0"/>
    <n v="2"/>
    <n v="44000"/>
    <n v="88000"/>
  </r>
  <r>
    <x v="40"/>
    <x v="0"/>
    <x v="0"/>
    <x v="1"/>
    <n v="1"/>
    <n v="26500"/>
    <n v="26500"/>
  </r>
  <r>
    <x v="41"/>
    <x v="0"/>
    <x v="3"/>
    <x v="3"/>
    <n v="3"/>
    <n v="920"/>
    <n v="2760"/>
  </r>
  <r>
    <x v="42"/>
    <x v="2"/>
    <x v="2"/>
    <x v="0"/>
    <n v="1"/>
    <n v="36000"/>
    <n v="36000"/>
  </r>
  <r>
    <x v="43"/>
    <x v="1"/>
    <x v="1"/>
    <x v="2"/>
    <n v="2"/>
    <n v="2300"/>
    <n v="4600"/>
  </r>
  <r>
    <x v="44"/>
    <x v="0"/>
    <x v="0"/>
    <x v="3"/>
    <n v="7"/>
    <n v="680"/>
    <n v="4760"/>
  </r>
  <r>
    <x v="45"/>
    <x v="0"/>
    <x v="3"/>
    <x v="0"/>
    <n v="2"/>
    <n v="41000"/>
    <n v="82000"/>
  </r>
  <r>
    <x v="46"/>
    <x v="2"/>
    <x v="2"/>
    <x v="1"/>
    <n v="1"/>
    <n v="15500"/>
    <n v="15500"/>
  </r>
  <r>
    <x v="47"/>
    <x v="1"/>
    <x v="1"/>
    <x v="3"/>
    <n v="4"/>
    <n v="850"/>
    <n v="3400"/>
  </r>
  <r>
    <x v="48"/>
    <x v="0"/>
    <x v="0"/>
    <x v="2"/>
    <n v="3"/>
    <n v="3300"/>
    <n v="9900"/>
  </r>
  <r>
    <x v="49"/>
    <x v="0"/>
    <x v="3"/>
    <x v="1"/>
    <n v="2"/>
    <n v="12200"/>
    <n v="24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3D2DF-3C86-4DDA-B811-3BFB83721788}" name="Сводная таблица2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26" rowHeaderCaption="менеджер">
  <location ref="E2:F7" firstHeaderRow="1" firstDataRow="1" firstDataCol="1"/>
  <pivotFields count="9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5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5">
        <item sd="0" x="0"/>
        <item sd="0" x="2"/>
        <item sd="0" x="3"/>
        <item sd="0" x="1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61"/>
        <item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8"/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Итог" fld="6" baseField="8" baseItem="3" numFmtId="164"/>
  </dataFields>
  <formats count="5">
    <format dxfId="274">
      <pivotArea dataOnly="0" labelOnly="1" outline="0" axis="axisValues" fieldPosition="0"/>
    </format>
    <format dxfId="273">
      <pivotArea field="2" type="button" dataOnly="0" labelOnly="1" outline="0" axis="axisRow" fieldPosition="0"/>
    </format>
    <format dxfId="272">
      <pivotArea dataOnly="0" labelOnly="1" outline="0" axis="axisValues" fieldPosition="0"/>
    </format>
    <format dxfId="271">
      <pivotArea dataOnly="0" grandRow="1" fieldPosition="0"/>
    </format>
    <format dxfId="270">
      <pivotArea outline="0" collapsedLevelsAreSubtotals="1" fieldPosition="0"/>
    </format>
  </formats>
  <chartFormats count="10"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52" name="Дата">
      <autoFilter ref="A1">
        <filterColumn colId="0">
          <customFilters and="1">
            <customFilter operator="greaterThanOrEqual" val="45352"/>
            <customFilter operator="lessThanOrEqual" val="454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AD27A-3909-4162-BB24-A6D4D1668CC3}" name="Сводная таблица1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27" rowHeaderCaption="Дата">
  <location ref="A2:B5" firstHeaderRow="1" firstDataRow="1" firstDataCol="1"/>
  <pivotFields count="9">
    <pivotField axis="axisRow"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5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0"/>
  </rowFields>
  <rowItems count="3">
    <i>
      <x v="3"/>
    </i>
    <i>
      <x v="4"/>
    </i>
    <i t="grand">
      <x/>
    </i>
  </rowItems>
  <colItems count="1">
    <i/>
  </colItems>
  <dataFields count="1">
    <dataField name="Итог" fld="6" baseField="8" baseItem="3" numFmtId="164"/>
  </dataFields>
  <formats count="8">
    <format dxfId="282">
      <pivotArea dataOnly="0" labelOnly="1" outline="0" axis="axisValues" fieldPosition="0"/>
    </format>
    <format dxfId="281">
      <pivotArea field="8" type="button" dataOnly="0" labelOnly="1" outline="0" axis="axisRow" fieldPosition="0"/>
    </format>
    <format dxfId="280">
      <pivotArea dataOnly="0" labelOnly="1" outline="0" axis="axisValues" fieldPosition="0"/>
    </format>
    <format dxfId="279">
      <pivotArea dataOnly="0" grandRow="1" fieldPosition="0"/>
    </format>
    <format dxfId="278">
      <pivotArea field="8" type="button" dataOnly="0" labelOnly="1" outline="0" axis="axisRow" fieldPosition="0"/>
    </format>
    <format dxfId="277">
      <pivotArea dataOnly="0" labelOnly="1" fieldPosition="0">
        <references count="1">
          <reference field="8" count="2">
            <x v="3"/>
            <x v="4"/>
          </reference>
        </references>
      </pivotArea>
    </format>
    <format dxfId="276">
      <pivotArea dataOnly="0" labelOnly="1" grandRow="1" outline="0" fieldPosition="0"/>
    </format>
    <format dxfId="275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52" name="Дата">
      <autoFilter ref="A1">
        <filterColumn colId="0">
          <customFilters and="1">
            <customFilter operator="greaterThanOrEqual" val="45352"/>
            <customFilter operator="lessThanOrEqual" val="454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1A545-C8C1-4EE0-BCB8-22F28D0234B3}" name="Сводная таблица3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16" rowHeaderCaption="Категория товара">
  <location ref="I2:J7" firstHeaderRow="1" firstDataRow="1" firstDataCol="1"/>
  <pivotFields count="9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5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>
      <items count="5">
        <item sd="0" x="1"/>
        <item sd="0" x="3"/>
        <item sd="0" x="2"/>
        <item sd="0" x="0"/>
        <item t="default"/>
      </items>
    </pivotField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8"/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Итог" fld="6" baseField="8" baseItem="3" numFmtId="164"/>
  </dataFields>
  <formats count="5">
    <format dxfId="287">
      <pivotArea dataOnly="0" labelOnly="1" outline="0" axis="axisValues" fieldPosition="0"/>
    </format>
    <format dxfId="286">
      <pivotArea field="3" type="button" dataOnly="0" labelOnly="1" outline="0" axis="axisRow" fieldPosition="0"/>
    </format>
    <format dxfId="285">
      <pivotArea dataOnly="0" labelOnly="1" outline="0" axis="axisValues" fieldPosition="0"/>
    </format>
    <format dxfId="284">
      <pivotArea dataOnly="0" grandRow="1" axis="axisRow" fieldPosition="0"/>
    </format>
    <format dxfId="28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52" name="Дата">
      <autoFilter ref="A1">
        <filterColumn colId="0">
          <customFilters and="1">
            <customFilter operator="greaterThanOrEqual" val="45352"/>
            <customFilter operator="lessThanOrEqual" val="454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0FB6D5CA-F27B-4A8C-A95A-AF9CDDC013E5}" sourceName="Регион">
  <pivotTables>
    <pivotTable tabId="2" name="Сводная таблица1"/>
    <pivotTable tabId="2" name="Сводная таблица2"/>
    <pivotTable tabId="2" name="Сводная таблица3"/>
  </pivotTables>
  <data>
    <tabular pivotCacheId="1345769470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неджер" xr10:uid="{4C997C78-2CA4-4B6C-ADFE-DB9690341E9C}" sourceName="Менеджер">
  <pivotTables>
    <pivotTable tabId="2" name="Сводная таблица1"/>
    <pivotTable tabId="2" name="Сводная таблица2"/>
    <pivotTable tabId="2" name="Сводная таблица3"/>
  </pivotTables>
  <data>
    <tabular pivotCacheId="1345769470">
      <items count="4"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егион 1" xr10:uid="{085FF9D6-3F4E-43D1-B30A-58BC1735753E}" cache="Срез_Регион" caption="Регион" style="SlicerStyleDark6" rowHeight="241300"/>
  <slicer name="Менеджер 1" xr10:uid="{A579D168-9DBD-4FCA-B5F7-BB97D07EE3AE}" cache="Срез_Менеджер" caption="Менеджер" style="SlicerStyleDark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F5CB7-9BD6-4CD8-9B67-B0E8D525B4CB}" name="Таблица1" displayName="Таблица1" ref="A1:G51" totalsRowShown="0" headerRowDxfId="299" dataDxfId="297" headerRowBorderDxfId="298" tableBorderDxfId="296" totalsRowBorderDxfId="295">
  <autoFilter ref="A1:G51" xr:uid="{BB7F5CB7-9BD6-4CD8-9B67-B0E8D525B4CB}"/>
  <tableColumns count="7">
    <tableColumn id="1" xr3:uid="{6E7B289B-904D-4E3F-99BE-4688C2A6762A}" name="Дата" dataDxfId="294"/>
    <tableColumn id="2" xr3:uid="{D557A7DD-D522-402F-8E3D-1891A321E16E}" name="Регион" dataDxfId="293"/>
    <tableColumn id="3" xr3:uid="{68E9F89C-973F-480F-A472-DEA9E28B1277}" name="Менеджер" dataDxfId="292"/>
    <tableColumn id="4" xr3:uid="{EA5BE651-268F-4973-B1BE-84626DA4370F}" name="Категория товара" dataDxfId="291"/>
    <tableColumn id="5" xr3:uid="{FAF2EA5A-D2B5-4A3B-BC5F-F413CA1FDF82}" name="Количество" dataDxfId="290"/>
    <tableColumn id="6" xr3:uid="{B49999D7-CB94-4152-A0AB-ABEF45403BF2}" name="Цена_за_шт" dataDxfId="289"/>
    <tableColumn id="7" xr3:uid="{DD7CF4D4-830C-43E2-B1CA-A1CC80C7D908}" name="Сумма" dataDxfId="288">
      <calculatedColumnFormula>E2*F2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" xr10:uid="{10DD6D45-1898-4CB9-82AF-07AC71860B9C}" sourceName="Дата">
  <pivotTables>
    <pivotTable tabId="2" name="Сводная таблица1"/>
    <pivotTable tabId="2" name="Сводная таблица2"/>
    <pivotTable tabId="2" name="Сводная таблица3"/>
  </pivotTables>
  <state minimalRefreshVersion="6" lastRefreshVersion="6" pivotCacheId="1345769470" filterType="dateBetween">
    <selection startDate="2024-03-01T00:00:00" endDate="2024-04-30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1" xr10:uid="{458363D0-67CF-4AAE-A031-5E693614C607}" cache="ВстроеннаяВременнаяШкала_Дата" caption="Дата" level="2" selectionLevel="2" scrollPosition="2024-01-01T00:00:00" style="TimeSlicerStyleDark6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7E99-4896-459E-9102-8B10B0FFFEDA}">
  <dimension ref="A1:BJ1048576"/>
  <sheetViews>
    <sheetView tabSelected="1" zoomScaleNormal="100" workbookViewId="0">
      <selection activeCell="H31" sqref="H31"/>
    </sheetView>
  </sheetViews>
  <sheetFormatPr defaultColWidth="0" defaultRowHeight="15" zeroHeight="1" x14ac:dyDescent="0.25"/>
  <cols>
    <col min="1" max="59" width="2.85546875" style="20" customWidth="1"/>
    <col min="60" max="60" width="2.85546875" style="24" customWidth="1"/>
    <col min="61" max="62" width="2.85546875" style="20" customWidth="1"/>
    <col min="63" max="16384" width="2.85546875" style="20" hidden="1"/>
  </cols>
  <sheetData>
    <row r="1" spans="1:62" ht="20.25" x14ac:dyDescent="0.3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I1" s="24"/>
      <c r="BJ1" s="24"/>
    </row>
    <row r="2" spans="1:62" ht="18.75" x14ac:dyDescent="0.3">
      <c r="A2" s="17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I2" s="24"/>
      <c r="BJ2" s="24"/>
    </row>
    <row r="3" spans="1:62" x14ac:dyDescent="0.25"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I3" s="24"/>
      <c r="BJ3" s="24"/>
    </row>
    <row r="4" spans="1:62" s="24" customFormat="1" x14ac:dyDescent="0.25"/>
    <row r="5" spans="1:62" s="24" customFormat="1" x14ac:dyDescent="0.25"/>
    <row r="6" spans="1:62" s="24" customFormat="1" x14ac:dyDescent="0.25"/>
    <row r="7" spans="1:62" s="24" customFormat="1" x14ac:dyDescent="0.25"/>
    <row r="8" spans="1:62" s="24" customFormat="1" x14ac:dyDescent="0.25"/>
    <row r="9" spans="1:62" s="24" customFormat="1" x14ac:dyDescent="0.25"/>
    <row r="10" spans="1:62" s="24" customFormat="1" x14ac:dyDescent="0.25"/>
    <row r="11" spans="1:62" s="24" customFormat="1" x14ac:dyDescent="0.25"/>
    <row r="12" spans="1:62" s="24" customFormat="1" x14ac:dyDescent="0.25"/>
    <row r="13" spans="1:62" s="24" customFormat="1" x14ac:dyDescent="0.25"/>
    <row r="14" spans="1:62" s="24" customFormat="1" x14ac:dyDescent="0.25"/>
    <row r="15" spans="1:62" s="24" customFormat="1" x14ac:dyDescent="0.25"/>
    <row r="16" spans="1:62" s="24" customFormat="1" x14ac:dyDescent="0.25"/>
    <row r="17" s="24" customFormat="1" x14ac:dyDescent="0.25"/>
    <row r="18" s="24" customFormat="1" x14ac:dyDescent="0.25"/>
    <row r="19" s="24" customFormat="1" x14ac:dyDescent="0.25"/>
    <row r="20" s="24" customFormat="1" x14ac:dyDescent="0.25"/>
    <row r="21" s="24" customFormat="1" x14ac:dyDescent="0.25"/>
    <row r="22" s="24" customFormat="1" x14ac:dyDescent="0.25"/>
    <row r="23" s="24" customFormat="1" x14ac:dyDescent="0.25"/>
    <row r="24" s="24" customFormat="1" x14ac:dyDescent="0.25"/>
    <row r="25" s="24" customFormat="1" x14ac:dyDescent="0.25"/>
    <row r="26" s="24" customFormat="1" x14ac:dyDescent="0.25"/>
    <row r="27" s="24" customFormat="1" x14ac:dyDescent="0.25"/>
    <row r="28" s="24" customFormat="1" x14ac:dyDescent="0.25"/>
    <row r="29" s="24" customFormat="1" x14ac:dyDescent="0.25"/>
    <row r="30" s="24" customFormat="1" x14ac:dyDescent="0.25"/>
    <row r="31" s="24" customFormat="1" x14ac:dyDescent="0.25"/>
    <row r="32" s="24" customFormat="1" x14ac:dyDescent="0.25"/>
    <row r="1048575" s="24" customFormat="1" hidden="1" x14ac:dyDescent="0.25"/>
    <row r="1048576" s="24" customFormat="1" hidden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J5" sqref="J5"/>
    </sheetView>
  </sheetViews>
  <sheetFormatPr defaultRowHeight="15" x14ac:dyDescent="0.25"/>
  <cols>
    <col min="1" max="1" width="12.28515625" bestFit="1" customWidth="1"/>
    <col min="2" max="2" width="17" customWidth="1"/>
    <col min="3" max="3" width="16.140625" customWidth="1"/>
    <col min="4" max="4" width="22.140625" customWidth="1"/>
    <col min="5" max="6" width="16" customWidth="1"/>
    <col min="7" max="7" width="11" customWidth="1"/>
  </cols>
  <sheetData>
    <row r="1" spans="1:7" ht="16.5" x14ac:dyDescent="0.25">
      <c r="A1" s="14" t="s">
        <v>0</v>
      </c>
      <c r="B1" s="15" t="s">
        <v>1</v>
      </c>
      <c r="C1" s="15" t="s">
        <v>2</v>
      </c>
      <c r="D1" s="15" t="s">
        <v>17</v>
      </c>
      <c r="E1" s="15" t="s">
        <v>3</v>
      </c>
      <c r="F1" s="15" t="s">
        <v>4</v>
      </c>
      <c r="G1" s="16" t="s">
        <v>5</v>
      </c>
    </row>
    <row r="2" spans="1:7" ht="16.5" x14ac:dyDescent="0.25">
      <c r="A2" s="2">
        <v>45352</v>
      </c>
      <c r="B2" s="3" t="s">
        <v>6</v>
      </c>
      <c r="C2" s="3" t="s">
        <v>7</v>
      </c>
      <c r="D2" s="3" t="s">
        <v>8</v>
      </c>
      <c r="E2" s="3">
        <v>2</v>
      </c>
      <c r="F2" s="3">
        <v>45000</v>
      </c>
      <c r="G2" s="4">
        <f t="shared" ref="G2:G33" si="0">E2*F2</f>
        <v>90000</v>
      </c>
    </row>
    <row r="3" spans="1:7" ht="16.5" x14ac:dyDescent="0.25">
      <c r="A3" s="2">
        <v>45353</v>
      </c>
      <c r="B3" s="3" t="s">
        <v>9</v>
      </c>
      <c r="C3" s="3" t="s">
        <v>10</v>
      </c>
      <c r="D3" s="3" t="s">
        <v>11</v>
      </c>
      <c r="E3" s="3">
        <v>1</v>
      </c>
      <c r="F3" s="3">
        <v>18000</v>
      </c>
      <c r="G3" s="4">
        <f t="shared" si="0"/>
        <v>18000</v>
      </c>
    </row>
    <row r="4" spans="1:7" ht="33" x14ac:dyDescent="0.25">
      <c r="A4" s="2">
        <v>45354</v>
      </c>
      <c r="B4" s="3" t="s">
        <v>12</v>
      </c>
      <c r="C4" s="3" t="s">
        <v>13</v>
      </c>
      <c r="D4" s="3" t="s">
        <v>14</v>
      </c>
      <c r="E4" s="3">
        <v>3</v>
      </c>
      <c r="F4" s="3">
        <v>2500</v>
      </c>
      <c r="G4" s="4">
        <f t="shared" si="0"/>
        <v>7500</v>
      </c>
    </row>
    <row r="5" spans="1:7" ht="16.5" x14ac:dyDescent="0.25">
      <c r="A5" s="2">
        <v>45355</v>
      </c>
      <c r="B5" s="3" t="s">
        <v>6</v>
      </c>
      <c r="C5" s="3" t="s">
        <v>15</v>
      </c>
      <c r="D5" s="3" t="s">
        <v>8</v>
      </c>
      <c r="E5" s="3">
        <v>1</v>
      </c>
      <c r="F5" s="3">
        <v>32000</v>
      </c>
      <c r="G5" s="4">
        <f t="shared" si="0"/>
        <v>32000</v>
      </c>
    </row>
    <row r="6" spans="1:7" ht="16.5" x14ac:dyDescent="0.25">
      <c r="A6" s="2">
        <v>45356</v>
      </c>
      <c r="B6" s="3" t="s">
        <v>6</v>
      </c>
      <c r="C6" s="3" t="s">
        <v>7</v>
      </c>
      <c r="D6" s="3" t="s">
        <v>16</v>
      </c>
      <c r="E6" s="3">
        <v>5</v>
      </c>
      <c r="F6" s="3">
        <v>800</v>
      </c>
      <c r="G6" s="4">
        <f t="shared" si="0"/>
        <v>4000</v>
      </c>
    </row>
    <row r="7" spans="1:7" ht="16.5" x14ac:dyDescent="0.25">
      <c r="A7" s="2">
        <v>45357</v>
      </c>
      <c r="B7" s="3" t="s">
        <v>9</v>
      </c>
      <c r="C7" s="3" t="s">
        <v>10</v>
      </c>
      <c r="D7" s="3" t="s">
        <v>14</v>
      </c>
      <c r="E7" s="3">
        <v>2</v>
      </c>
      <c r="F7" s="3">
        <v>3500</v>
      </c>
      <c r="G7" s="4">
        <f t="shared" si="0"/>
        <v>7000</v>
      </c>
    </row>
    <row r="8" spans="1:7" ht="33" x14ac:dyDescent="0.25">
      <c r="A8" s="2">
        <v>45358</v>
      </c>
      <c r="B8" s="3" t="s">
        <v>12</v>
      </c>
      <c r="C8" s="3" t="s">
        <v>13</v>
      </c>
      <c r="D8" s="3" t="s">
        <v>11</v>
      </c>
      <c r="E8" s="3">
        <v>1</v>
      </c>
      <c r="F8" s="3">
        <v>22500</v>
      </c>
      <c r="G8" s="4">
        <f t="shared" si="0"/>
        <v>22500</v>
      </c>
    </row>
    <row r="9" spans="1:7" ht="16.5" x14ac:dyDescent="0.25">
      <c r="A9" s="2">
        <v>45359</v>
      </c>
      <c r="B9" s="3" t="s">
        <v>6</v>
      </c>
      <c r="C9" s="3" t="s">
        <v>15</v>
      </c>
      <c r="D9" s="3" t="s">
        <v>16</v>
      </c>
      <c r="E9" s="3">
        <v>4</v>
      </c>
      <c r="F9" s="3">
        <v>650</v>
      </c>
      <c r="G9" s="4">
        <f t="shared" si="0"/>
        <v>2600</v>
      </c>
    </row>
    <row r="10" spans="1:7" ht="16.5" x14ac:dyDescent="0.25">
      <c r="A10" s="2">
        <v>45360</v>
      </c>
      <c r="B10" s="3" t="s">
        <v>6</v>
      </c>
      <c r="C10" s="3" t="s">
        <v>7</v>
      </c>
      <c r="D10" s="3" t="s">
        <v>8</v>
      </c>
      <c r="E10" s="3">
        <v>1</v>
      </c>
      <c r="F10" s="3">
        <v>55000</v>
      </c>
      <c r="G10" s="4">
        <f t="shared" si="0"/>
        <v>55000</v>
      </c>
    </row>
    <row r="11" spans="1:7" ht="16.5" x14ac:dyDescent="0.25">
      <c r="A11" s="2">
        <v>45361</v>
      </c>
      <c r="B11" s="3" t="s">
        <v>9</v>
      </c>
      <c r="C11" s="3" t="s">
        <v>10</v>
      </c>
      <c r="D11" s="3" t="s">
        <v>14</v>
      </c>
      <c r="E11" s="3">
        <v>3</v>
      </c>
      <c r="F11" s="3">
        <v>1800</v>
      </c>
      <c r="G11" s="4">
        <f t="shared" si="0"/>
        <v>5400</v>
      </c>
    </row>
    <row r="12" spans="1:7" ht="16.5" x14ac:dyDescent="0.25">
      <c r="A12" s="2">
        <v>45362</v>
      </c>
      <c r="B12" s="3" t="s">
        <v>6</v>
      </c>
      <c r="C12" s="3" t="s">
        <v>7</v>
      </c>
      <c r="D12" s="3" t="s">
        <v>11</v>
      </c>
      <c r="E12" s="3">
        <v>2</v>
      </c>
      <c r="F12" s="3">
        <v>12000</v>
      </c>
      <c r="G12" s="4">
        <f t="shared" si="0"/>
        <v>24000</v>
      </c>
    </row>
    <row r="13" spans="1:7" ht="33" x14ac:dyDescent="0.25">
      <c r="A13" s="2">
        <v>45363</v>
      </c>
      <c r="B13" s="3" t="s">
        <v>12</v>
      </c>
      <c r="C13" s="3" t="s">
        <v>13</v>
      </c>
      <c r="D13" s="3" t="s">
        <v>8</v>
      </c>
      <c r="E13" s="3">
        <v>1</v>
      </c>
      <c r="F13" s="3">
        <v>38000</v>
      </c>
      <c r="G13" s="4">
        <f t="shared" si="0"/>
        <v>38000</v>
      </c>
    </row>
    <row r="14" spans="1:7" ht="16.5" x14ac:dyDescent="0.25">
      <c r="A14" s="2">
        <v>45364</v>
      </c>
      <c r="B14" s="3" t="s">
        <v>9</v>
      </c>
      <c r="C14" s="3" t="s">
        <v>10</v>
      </c>
      <c r="D14" s="3" t="s">
        <v>16</v>
      </c>
      <c r="E14" s="3">
        <v>6</v>
      </c>
      <c r="F14" s="3">
        <v>500</v>
      </c>
      <c r="G14" s="4">
        <f t="shared" si="0"/>
        <v>3000</v>
      </c>
    </row>
    <row r="15" spans="1:7" ht="16.5" x14ac:dyDescent="0.25">
      <c r="A15" s="2">
        <v>45365</v>
      </c>
      <c r="B15" s="3" t="s">
        <v>6</v>
      </c>
      <c r="C15" s="3" t="s">
        <v>15</v>
      </c>
      <c r="D15" s="3" t="s">
        <v>14</v>
      </c>
      <c r="E15" s="3">
        <v>4</v>
      </c>
      <c r="F15" s="3">
        <v>2200</v>
      </c>
      <c r="G15" s="4">
        <f t="shared" si="0"/>
        <v>8800</v>
      </c>
    </row>
    <row r="16" spans="1:7" ht="16.5" x14ac:dyDescent="0.25">
      <c r="A16" s="2">
        <v>45366</v>
      </c>
      <c r="B16" s="3" t="s">
        <v>6</v>
      </c>
      <c r="C16" s="3" t="s">
        <v>7</v>
      </c>
      <c r="D16" s="3" t="s">
        <v>11</v>
      </c>
      <c r="E16" s="3">
        <v>1</v>
      </c>
      <c r="F16" s="3">
        <v>29000</v>
      </c>
      <c r="G16" s="4">
        <f t="shared" si="0"/>
        <v>29000</v>
      </c>
    </row>
    <row r="17" spans="1:7" ht="33" x14ac:dyDescent="0.25">
      <c r="A17" s="2">
        <v>45367</v>
      </c>
      <c r="B17" s="3" t="s">
        <v>12</v>
      </c>
      <c r="C17" s="3" t="s">
        <v>13</v>
      </c>
      <c r="D17" s="3" t="s">
        <v>16</v>
      </c>
      <c r="E17" s="3">
        <v>3</v>
      </c>
      <c r="F17" s="3">
        <v>950</v>
      </c>
      <c r="G17" s="4">
        <f t="shared" si="0"/>
        <v>2850</v>
      </c>
    </row>
    <row r="18" spans="1:7" ht="16.5" x14ac:dyDescent="0.25">
      <c r="A18" s="2">
        <v>45368</v>
      </c>
      <c r="B18" s="3" t="s">
        <v>9</v>
      </c>
      <c r="C18" s="3" t="s">
        <v>10</v>
      </c>
      <c r="D18" s="3" t="s">
        <v>8</v>
      </c>
      <c r="E18" s="3">
        <v>2</v>
      </c>
      <c r="F18" s="3">
        <v>42000</v>
      </c>
      <c r="G18" s="4">
        <f t="shared" si="0"/>
        <v>84000</v>
      </c>
    </row>
    <row r="19" spans="1:7" ht="16.5" x14ac:dyDescent="0.25">
      <c r="A19" s="2">
        <v>45369</v>
      </c>
      <c r="B19" s="3" t="s">
        <v>6</v>
      </c>
      <c r="C19" s="3" t="s">
        <v>15</v>
      </c>
      <c r="D19" s="3" t="s">
        <v>11</v>
      </c>
      <c r="E19" s="3">
        <v>1</v>
      </c>
      <c r="F19" s="3">
        <v>16500</v>
      </c>
      <c r="G19" s="4">
        <f t="shared" si="0"/>
        <v>16500</v>
      </c>
    </row>
    <row r="20" spans="1:7" ht="16.5" x14ac:dyDescent="0.25">
      <c r="A20" s="2">
        <v>45370</v>
      </c>
      <c r="B20" s="3" t="s">
        <v>6</v>
      </c>
      <c r="C20" s="3" t="s">
        <v>7</v>
      </c>
      <c r="D20" s="3" t="s">
        <v>14</v>
      </c>
      <c r="E20" s="3">
        <v>2</v>
      </c>
      <c r="F20" s="3">
        <v>4200</v>
      </c>
      <c r="G20" s="4">
        <f t="shared" si="0"/>
        <v>8400</v>
      </c>
    </row>
    <row r="21" spans="1:7" ht="16.5" x14ac:dyDescent="0.25">
      <c r="A21" s="2">
        <v>45371</v>
      </c>
      <c r="B21" s="3" t="s">
        <v>9</v>
      </c>
      <c r="C21" s="3" t="s">
        <v>10</v>
      </c>
      <c r="D21" s="3" t="s">
        <v>16</v>
      </c>
      <c r="E21" s="3">
        <v>7</v>
      </c>
      <c r="F21" s="3">
        <v>750</v>
      </c>
      <c r="G21" s="4">
        <f t="shared" si="0"/>
        <v>5250</v>
      </c>
    </row>
    <row r="22" spans="1:7" ht="16.5" x14ac:dyDescent="0.25">
      <c r="A22" s="2">
        <v>45383</v>
      </c>
      <c r="B22" s="3" t="s">
        <v>6</v>
      </c>
      <c r="C22" s="3" t="s">
        <v>7</v>
      </c>
      <c r="D22" s="3" t="s">
        <v>8</v>
      </c>
      <c r="E22" s="3">
        <v>3</v>
      </c>
      <c r="F22" s="3">
        <v>48000</v>
      </c>
      <c r="G22" s="4">
        <f t="shared" si="0"/>
        <v>144000</v>
      </c>
    </row>
    <row r="23" spans="1:7" ht="33" x14ac:dyDescent="0.25">
      <c r="A23" s="2">
        <v>45384</v>
      </c>
      <c r="B23" s="3" t="s">
        <v>12</v>
      </c>
      <c r="C23" s="3" t="s">
        <v>13</v>
      </c>
      <c r="D23" s="3" t="s">
        <v>11</v>
      </c>
      <c r="E23" s="3">
        <v>2</v>
      </c>
      <c r="F23" s="3">
        <v>14500</v>
      </c>
      <c r="G23" s="4">
        <f t="shared" si="0"/>
        <v>29000</v>
      </c>
    </row>
    <row r="24" spans="1:7" ht="16.5" x14ac:dyDescent="0.25">
      <c r="A24" s="2">
        <v>45385</v>
      </c>
      <c r="B24" s="3" t="s">
        <v>6</v>
      </c>
      <c r="C24" s="3" t="s">
        <v>15</v>
      </c>
      <c r="D24" s="3" t="s">
        <v>14</v>
      </c>
      <c r="E24" s="3">
        <v>1</v>
      </c>
      <c r="F24" s="3">
        <v>3100</v>
      </c>
      <c r="G24" s="4">
        <f t="shared" si="0"/>
        <v>3100</v>
      </c>
    </row>
    <row r="25" spans="1:7" ht="16.5" x14ac:dyDescent="0.25">
      <c r="A25" s="2">
        <v>45386</v>
      </c>
      <c r="B25" s="3" t="s">
        <v>9</v>
      </c>
      <c r="C25" s="3" t="s">
        <v>10</v>
      </c>
      <c r="D25" s="3" t="s">
        <v>8</v>
      </c>
      <c r="E25" s="3">
        <v>1</v>
      </c>
      <c r="F25" s="3">
        <v>51000</v>
      </c>
      <c r="G25" s="4">
        <f t="shared" si="0"/>
        <v>51000</v>
      </c>
    </row>
    <row r="26" spans="1:7" ht="16.5" x14ac:dyDescent="0.25">
      <c r="A26" s="2">
        <v>45387</v>
      </c>
      <c r="B26" s="3" t="s">
        <v>6</v>
      </c>
      <c r="C26" s="3" t="s">
        <v>7</v>
      </c>
      <c r="D26" s="3" t="s">
        <v>16</v>
      </c>
      <c r="E26" s="3">
        <v>4</v>
      </c>
      <c r="F26" s="3">
        <v>880</v>
      </c>
      <c r="G26" s="4">
        <f t="shared" si="0"/>
        <v>3520</v>
      </c>
    </row>
    <row r="27" spans="1:7" ht="33" x14ac:dyDescent="0.25">
      <c r="A27" s="2">
        <v>45388</v>
      </c>
      <c r="B27" s="3" t="s">
        <v>12</v>
      </c>
      <c r="C27" s="3" t="s">
        <v>13</v>
      </c>
      <c r="D27" s="3" t="s">
        <v>14</v>
      </c>
      <c r="E27" s="3">
        <v>3</v>
      </c>
      <c r="F27" s="3">
        <v>1900</v>
      </c>
      <c r="G27" s="4">
        <f t="shared" si="0"/>
        <v>5700</v>
      </c>
    </row>
    <row r="28" spans="1:7" ht="16.5" x14ac:dyDescent="0.25">
      <c r="A28" s="2">
        <v>45389</v>
      </c>
      <c r="B28" s="3" t="s">
        <v>6</v>
      </c>
      <c r="C28" s="3" t="s">
        <v>15</v>
      </c>
      <c r="D28" s="3" t="s">
        <v>11</v>
      </c>
      <c r="E28" s="3">
        <v>1</v>
      </c>
      <c r="F28" s="3">
        <v>32000</v>
      </c>
      <c r="G28" s="4">
        <f t="shared" si="0"/>
        <v>32000</v>
      </c>
    </row>
    <row r="29" spans="1:7" ht="16.5" x14ac:dyDescent="0.25">
      <c r="A29" s="2">
        <v>45390</v>
      </c>
      <c r="B29" s="3" t="s">
        <v>9</v>
      </c>
      <c r="C29" s="3" t="s">
        <v>10</v>
      </c>
      <c r="D29" s="3" t="s">
        <v>16</v>
      </c>
      <c r="E29" s="3">
        <v>5</v>
      </c>
      <c r="F29" s="3">
        <v>620</v>
      </c>
      <c r="G29" s="4">
        <f t="shared" si="0"/>
        <v>3100</v>
      </c>
    </row>
    <row r="30" spans="1:7" ht="16.5" x14ac:dyDescent="0.25">
      <c r="A30" s="2">
        <v>45391</v>
      </c>
      <c r="B30" s="3" t="s">
        <v>6</v>
      </c>
      <c r="C30" s="3" t="s">
        <v>7</v>
      </c>
      <c r="D30" s="3" t="s">
        <v>8</v>
      </c>
      <c r="E30" s="3">
        <v>2</v>
      </c>
      <c r="F30" s="3">
        <v>39000</v>
      </c>
      <c r="G30" s="4">
        <f t="shared" si="0"/>
        <v>78000</v>
      </c>
    </row>
    <row r="31" spans="1:7" ht="33" x14ac:dyDescent="0.25">
      <c r="A31" s="2">
        <v>45392</v>
      </c>
      <c r="B31" s="3" t="s">
        <v>12</v>
      </c>
      <c r="C31" s="3" t="s">
        <v>13</v>
      </c>
      <c r="D31" s="3" t="s">
        <v>14</v>
      </c>
      <c r="E31" s="3">
        <v>2</v>
      </c>
      <c r="F31" s="3">
        <v>2700</v>
      </c>
      <c r="G31" s="4">
        <f t="shared" si="0"/>
        <v>5400</v>
      </c>
    </row>
    <row r="32" spans="1:7" ht="16.5" x14ac:dyDescent="0.25">
      <c r="A32" s="2">
        <v>45393</v>
      </c>
      <c r="B32" s="3" t="s">
        <v>6</v>
      </c>
      <c r="C32" s="3" t="s">
        <v>15</v>
      </c>
      <c r="D32" s="3" t="s">
        <v>11</v>
      </c>
      <c r="E32" s="3">
        <v>3</v>
      </c>
      <c r="F32" s="3">
        <v>11000</v>
      </c>
      <c r="G32" s="4">
        <f t="shared" si="0"/>
        <v>33000</v>
      </c>
    </row>
    <row r="33" spans="1:11" ht="16.5" x14ac:dyDescent="0.25">
      <c r="A33" s="2">
        <v>45394</v>
      </c>
      <c r="B33" s="3" t="s">
        <v>9</v>
      </c>
      <c r="C33" s="3" t="s">
        <v>10</v>
      </c>
      <c r="D33" s="3" t="s">
        <v>8</v>
      </c>
      <c r="E33" s="3">
        <v>1</v>
      </c>
      <c r="F33" s="3">
        <v>47000</v>
      </c>
      <c r="G33" s="4">
        <f t="shared" si="0"/>
        <v>47000</v>
      </c>
    </row>
    <row r="34" spans="1:11" ht="16.5" x14ac:dyDescent="0.25">
      <c r="A34" s="2">
        <v>45395</v>
      </c>
      <c r="B34" s="3" t="s">
        <v>6</v>
      </c>
      <c r="C34" s="3" t="s">
        <v>7</v>
      </c>
      <c r="D34" s="3" t="s">
        <v>16</v>
      </c>
      <c r="E34" s="3">
        <v>8</v>
      </c>
      <c r="F34" s="3">
        <v>550</v>
      </c>
      <c r="G34" s="4">
        <f t="shared" ref="G34:G51" si="1">E34*F34</f>
        <v>4400</v>
      </c>
      <c r="K34" s="1"/>
    </row>
    <row r="35" spans="1:11" ht="33" x14ac:dyDescent="0.25">
      <c r="A35" s="2">
        <v>45396</v>
      </c>
      <c r="B35" s="3" t="s">
        <v>12</v>
      </c>
      <c r="C35" s="3" t="s">
        <v>13</v>
      </c>
      <c r="D35" s="3" t="s">
        <v>11</v>
      </c>
      <c r="E35" s="3">
        <v>1</v>
      </c>
      <c r="F35" s="3">
        <v>19500</v>
      </c>
      <c r="G35" s="4">
        <f t="shared" si="1"/>
        <v>19500</v>
      </c>
    </row>
    <row r="36" spans="1:11" ht="16.5" x14ac:dyDescent="0.25">
      <c r="A36" s="2">
        <v>45397</v>
      </c>
      <c r="B36" s="3" t="s">
        <v>6</v>
      </c>
      <c r="C36" s="3" t="s">
        <v>15</v>
      </c>
      <c r="D36" s="3" t="s">
        <v>14</v>
      </c>
      <c r="E36" s="3">
        <v>4</v>
      </c>
      <c r="F36" s="3">
        <v>1650</v>
      </c>
      <c r="G36" s="4">
        <f t="shared" si="1"/>
        <v>6600</v>
      </c>
    </row>
    <row r="37" spans="1:11" ht="16.5" x14ac:dyDescent="0.25">
      <c r="A37" s="2">
        <v>45398</v>
      </c>
      <c r="B37" s="3" t="s">
        <v>9</v>
      </c>
      <c r="C37" s="3" t="s">
        <v>10</v>
      </c>
      <c r="D37" s="3" t="s">
        <v>16</v>
      </c>
      <c r="E37" s="3">
        <v>6</v>
      </c>
      <c r="F37" s="3">
        <v>720</v>
      </c>
      <c r="G37" s="4">
        <f t="shared" si="1"/>
        <v>4320</v>
      </c>
    </row>
    <row r="38" spans="1:11" ht="16.5" x14ac:dyDescent="0.25">
      <c r="A38" s="2">
        <v>45399</v>
      </c>
      <c r="B38" s="3" t="s">
        <v>6</v>
      </c>
      <c r="C38" s="3" t="s">
        <v>7</v>
      </c>
      <c r="D38" s="3" t="s">
        <v>8</v>
      </c>
      <c r="E38" s="3">
        <v>1</v>
      </c>
      <c r="F38" s="3">
        <v>58000</v>
      </c>
      <c r="G38" s="4">
        <f t="shared" si="1"/>
        <v>58000</v>
      </c>
    </row>
    <row r="39" spans="1:11" ht="16.5" x14ac:dyDescent="0.25">
      <c r="A39" s="2">
        <v>45400</v>
      </c>
      <c r="B39" s="3" t="s">
        <v>6</v>
      </c>
      <c r="C39" s="3" t="s">
        <v>15</v>
      </c>
      <c r="D39" s="3" t="s">
        <v>11</v>
      </c>
      <c r="E39" s="3">
        <v>2</v>
      </c>
      <c r="F39" s="3">
        <v>13800</v>
      </c>
      <c r="G39" s="4">
        <f t="shared" si="1"/>
        <v>27600</v>
      </c>
    </row>
    <row r="40" spans="1:11" ht="33" x14ac:dyDescent="0.25">
      <c r="A40" s="2">
        <v>45401</v>
      </c>
      <c r="B40" s="3" t="s">
        <v>12</v>
      </c>
      <c r="C40" s="3" t="s">
        <v>13</v>
      </c>
      <c r="D40" s="3" t="s">
        <v>14</v>
      </c>
      <c r="E40" s="3">
        <v>1</v>
      </c>
      <c r="F40" s="3">
        <v>4900</v>
      </c>
      <c r="G40" s="4">
        <f t="shared" si="1"/>
        <v>4900</v>
      </c>
    </row>
    <row r="41" spans="1:11" ht="16.5" x14ac:dyDescent="0.25">
      <c r="A41" s="2">
        <v>45402</v>
      </c>
      <c r="B41" s="3" t="s">
        <v>9</v>
      </c>
      <c r="C41" s="3" t="s">
        <v>10</v>
      </c>
      <c r="D41" s="3" t="s">
        <v>8</v>
      </c>
      <c r="E41" s="3">
        <v>2</v>
      </c>
      <c r="F41" s="3">
        <v>44000</v>
      </c>
      <c r="G41" s="4">
        <f t="shared" si="1"/>
        <v>88000</v>
      </c>
    </row>
    <row r="42" spans="1:11" ht="16.5" x14ac:dyDescent="0.25">
      <c r="A42" s="2">
        <v>45403</v>
      </c>
      <c r="B42" s="3" t="s">
        <v>6</v>
      </c>
      <c r="C42" s="3" t="s">
        <v>7</v>
      </c>
      <c r="D42" s="3" t="s">
        <v>11</v>
      </c>
      <c r="E42" s="3">
        <v>1</v>
      </c>
      <c r="F42" s="3">
        <v>26500</v>
      </c>
      <c r="G42" s="4">
        <f t="shared" si="1"/>
        <v>26500</v>
      </c>
    </row>
    <row r="43" spans="1:11" ht="16.5" x14ac:dyDescent="0.25">
      <c r="A43" s="2">
        <v>45404</v>
      </c>
      <c r="B43" s="3" t="s">
        <v>6</v>
      </c>
      <c r="C43" s="3" t="s">
        <v>15</v>
      </c>
      <c r="D43" s="3" t="s">
        <v>16</v>
      </c>
      <c r="E43" s="3">
        <v>3</v>
      </c>
      <c r="F43" s="3">
        <v>920</v>
      </c>
      <c r="G43" s="4">
        <f t="shared" si="1"/>
        <v>2760</v>
      </c>
    </row>
    <row r="44" spans="1:11" ht="33" x14ac:dyDescent="0.25">
      <c r="A44" s="2">
        <v>45405</v>
      </c>
      <c r="B44" s="3" t="s">
        <v>12</v>
      </c>
      <c r="C44" s="3" t="s">
        <v>13</v>
      </c>
      <c r="D44" s="3" t="s">
        <v>8</v>
      </c>
      <c r="E44" s="3">
        <v>1</v>
      </c>
      <c r="F44" s="3">
        <v>36000</v>
      </c>
      <c r="G44" s="4">
        <f t="shared" si="1"/>
        <v>36000</v>
      </c>
    </row>
    <row r="45" spans="1:11" ht="16.5" x14ac:dyDescent="0.25">
      <c r="A45" s="2">
        <v>45406</v>
      </c>
      <c r="B45" s="3" t="s">
        <v>9</v>
      </c>
      <c r="C45" s="3" t="s">
        <v>10</v>
      </c>
      <c r="D45" s="3" t="s">
        <v>14</v>
      </c>
      <c r="E45" s="3">
        <v>2</v>
      </c>
      <c r="F45" s="3">
        <v>2300</v>
      </c>
      <c r="G45" s="4">
        <f t="shared" si="1"/>
        <v>4600</v>
      </c>
    </row>
    <row r="46" spans="1:11" ht="16.5" x14ac:dyDescent="0.25">
      <c r="A46" s="2">
        <v>45407</v>
      </c>
      <c r="B46" s="3" t="s">
        <v>6</v>
      </c>
      <c r="C46" s="3" t="s">
        <v>7</v>
      </c>
      <c r="D46" s="3" t="s">
        <v>16</v>
      </c>
      <c r="E46" s="3">
        <v>7</v>
      </c>
      <c r="F46" s="3">
        <v>680</v>
      </c>
      <c r="G46" s="4">
        <f t="shared" si="1"/>
        <v>4760</v>
      </c>
    </row>
    <row r="47" spans="1:11" ht="16.5" x14ac:dyDescent="0.25">
      <c r="A47" s="2">
        <v>45408</v>
      </c>
      <c r="B47" s="3" t="s">
        <v>6</v>
      </c>
      <c r="C47" s="3" t="s">
        <v>15</v>
      </c>
      <c r="D47" s="3" t="s">
        <v>8</v>
      </c>
      <c r="E47" s="3">
        <v>2</v>
      </c>
      <c r="F47" s="3">
        <v>41000</v>
      </c>
      <c r="G47" s="4">
        <f t="shared" si="1"/>
        <v>82000</v>
      </c>
    </row>
    <row r="48" spans="1:11" ht="33" x14ac:dyDescent="0.25">
      <c r="A48" s="2">
        <v>45409</v>
      </c>
      <c r="B48" s="3" t="s">
        <v>12</v>
      </c>
      <c r="C48" s="3" t="s">
        <v>13</v>
      </c>
      <c r="D48" s="3" t="s">
        <v>11</v>
      </c>
      <c r="E48" s="3">
        <v>1</v>
      </c>
      <c r="F48" s="3">
        <v>15500</v>
      </c>
      <c r="G48" s="4">
        <f t="shared" si="1"/>
        <v>15500</v>
      </c>
    </row>
    <row r="49" spans="1:7" ht="16.5" x14ac:dyDescent="0.25">
      <c r="A49" s="2">
        <v>45410</v>
      </c>
      <c r="B49" s="3" t="s">
        <v>9</v>
      </c>
      <c r="C49" s="3" t="s">
        <v>10</v>
      </c>
      <c r="D49" s="3" t="s">
        <v>16</v>
      </c>
      <c r="E49" s="3">
        <v>4</v>
      </c>
      <c r="F49" s="3">
        <v>850</v>
      </c>
      <c r="G49" s="4">
        <f t="shared" si="1"/>
        <v>3400</v>
      </c>
    </row>
    <row r="50" spans="1:7" ht="16.5" x14ac:dyDescent="0.25">
      <c r="A50" s="2">
        <v>45411</v>
      </c>
      <c r="B50" s="3" t="s">
        <v>6</v>
      </c>
      <c r="C50" s="3" t="s">
        <v>7</v>
      </c>
      <c r="D50" s="3" t="s">
        <v>14</v>
      </c>
      <c r="E50" s="3">
        <v>3</v>
      </c>
      <c r="F50" s="3">
        <v>3300</v>
      </c>
      <c r="G50" s="4">
        <f t="shared" si="1"/>
        <v>9900</v>
      </c>
    </row>
    <row r="51" spans="1:7" ht="16.5" x14ac:dyDescent="0.25">
      <c r="A51" s="5">
        <v>45412</v>
      </c>
      <c r="B51" s="6" t="s">
        <v>6</v>
      </c>
      <c r="C51" s="6" t="s">
        <v>15</v>
      </c>
      <c r="D51" s="6" t="s">
        <v>11</v>
      </c>
      <c r="E51" s="6">
        <v>2</v>
      </c>
      <c r="F51" s="6">
        <v>12200</v>
      </c>
      <c r="G51" s="7">
        <f t="shared" si="1"/>
        <v>24400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5E68-2C37-4D23-846A-628169F743AB}">
  <dimension ref="A1:K9"/>
  <sheetViews>
    <sheetView workbookViewId="0">
      <selection activeCell="A10" sqref="A10:XFD1048576"/>
    </sheetView>
  </sheetViews>
  <sheetFormatPr defaultColWidth="0" defaultRowHeight="15" zeroHeight="1" x14ac:dyDescent="0.25"/>
  <cols>
    <col min="1" max="1" width="11.85546875" bestFit="1" customWidth="1"/>
    <col min="2" max="2" width="10.42578125" bestFit="1" customWidth="1"/>
    <col min="3" max="4" width="9.140625" customWidth="1"/>
    <col min="5" max="5" width="14.7109375" bestFit="1" customWidth="1"/>
    <col min="6" max="6" width="10.42578125" bestFit="1" customWidth="1"/>
    <col min="7" max="8" width="9.140625" customWidth="1"/>
    <col min="9" max="9" width="19.28515625" bestFit="1" customWidth="1"/>
    <col min="10" max="10" width="10.42578125" bestFit="1" customWidth="1"/>
    <col min="11" max="11" width="9.140625" customWidth="1"/>
    <col min="12" max="16384" width="9.140625" hidden="1"/>
  </cols>
  <sheetData>
    <row r="1" spans="1:10" ht="15.75" x14ac:dyDescent="0.25">
      <c r="A1" s="21" t="s">
        <v>23</v>
      </c>
      <c r="B1" s="21"/>
      <c r="E1" s="21" t="s">
        <v>24</v>
      </c>
      <c r="F1" s="21"/>
      <c r="I1" s="21" t="s">
        <v>25</v>
      </c>
      <c r="J1" s="21"/>
    </row>
    <row r="2" spans="1:10" x14ac:dyDescent="0.25">
      <c r="A2" s="22" t="s">
        <v>0</v>
      </c>
      <c r="B2" s="12" t="s">
        <v>21</v>
      </c>
      <c r="E2" s="11" t="s">
        <v>22</v>
      </c>
      <c r="F2" s="12" t="s">
        <v>21</v>
      </c>
      <c r="I2" s="11" t="s">
        <v>17</v>
      </c>
      <c r="J2" s="12" t="s">
        <v>21</v>
      </c>
    </row>
    <row r="3" spans="1:10" x14ac:dyDescent="0.25">
      <c r="A3" s="23" t="s">
        <v>19</v>
      </c>
      <c r="B3" s="18">
        <v>463800</v>
      </c>
      <c r="E3" s="8" t="s">
        <v>7</v>
      </c>
      <c r="F3" s="18">
        <v>539480</v>
      </c>
      <c r="I3" s="8" t="s">
        <v>11</v>
      </c>
      <c r="J3" s="18">
        <v>317500</v>
      </c>
    </row>
    <row r="4" spans="1:10" x14ac:dyDescent="0.25">
      <c r="A4" s="23" t="s">
        <v>20</v>
      </c>
      <c r="B4" s="18">
        <v>857960</v>
      </c>
      <c r="E4" s="8" t="s">
        <v>13</v>
      </c>
      <c r="F4" s="18">
        <v>186850</v>
      </c>
      <c r="I4" s="8" t="s">
        <v>16</v>
      </c>
      <c r="J4" s="18">
        <v>43960</v>
      </c>
    </row>
    <row r="5" spans="1:10" x14ac:dyDescent="0.25">
      <c r="A5" s="22" t="s">
        <v>18</v>
      </c>
      <c r="B5" s="19">
        <v>1321760</v>
      </c>
      <c r="E5" s="8" t="s">
        <v>15</v>
      </c>
      <c r="F5" s="18">
        <v>271360</v>
      </c>
      <c r="I5" s="8" t="s">
        <v>14</v>
      </c>
      <c r="J5" s="18">
        <v>77300</v>
      </c>
    </row>
    <row r="6" spans="1:10" x14ac:dyDescent="0.25">
      <c r="E6" s="8" t="s">
        <v>10</v>
      </c>
      <c r="F6" s="18">
        <v>324070</v>
      </c>
      <c r="I6" s="8" t="s">
        <v>8</v>
      </c>
      <c r="J6" s="18">
        <v>883000</v>
      </c>
    </row>
    <row r="7" spans="1:10" x14ac:dyDescent="0.25">
      <c r="E7" s="13" t="s">
        <v>18</v>
      </c>
      <c r="F7" s="19">
        <v>1321760</v>
      </c>
      <c r="I7" s="13" t="s">
        <v>18</v>
      </c>
      <c r="J7" s="19">
        <v>1321760</v>
      </c>
    </row>
    <row r="8" spans="1:10" x14ac:dyDescent="0.25"/>
    <row r="9" spans="1:10" x14ac:dyDescent="0.25"/>
  </sheetData>
  <mergeCells count="3">
    <mergeCell ref="A1:B1"/>
    <mergeCell ref="E1:F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Дашборд Продажи</vt:lpstr>
      <vt:lpstr>Данные Продаж</vt:lpstr>
      <vt:lpstr>Анализ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Мурлыкина</dc:creator>
  <cp:lastModifiedBy>Мария Мурлыка</cp:lastModifiedBy>
  <dcterms:created xsi:type="dcterms:W3CDTF">2015-06-05T18:19:34Z</dcterms:created>
  <dcterms:modified xsi:type="dcterms:W3CDTF">2025-12-03T16:36:59Z</dcterms:modified>
</cp:coreProperties>
</file>