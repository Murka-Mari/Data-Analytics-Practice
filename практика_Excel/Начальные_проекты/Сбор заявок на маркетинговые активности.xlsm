
<file path=[Content_Types].xml><?xml version="1.0" encoding="utf-8"?>
<Types xmlns="http://schemas.openxmlformats.org/package/2006/content-types">
  <Default Extension="bin" ContentType="application/vnd.ms-office.vbaProject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328" codeName="{DD97A8EA-9A9A-E61F-A557-7D5A7D7259CE}"/>
  <workbookPr codeName="ЭтаКнига" hidePivotFieldList="1"/>
  <mc:AlternateContent xmlns:mc="http://schemas.openxmlformats.org/markup-compatibility/2006">
    <mc:Choice Requires="x15">
      <x15ac:absPath xmlns:x15ac="http://schemas.microsoft.com/office/spreadsheetml/2010/11/ac" url="C:\Users\Мурлыкина\OneDrive\Desktop\Кейсы\кейс 5\"/>
    </mc:Choice>
  </mc:AlternateContent>
  <xr:revisionPtr revIDLastSave="0" documentId="13_ncr:1_{B1095D2F-12E4-46F9-9905-997EA3D7CF1C}" xr6:coauthVersionLast="47" xr6:coauthVersionMax="47" xr10:uidLastSave="{00000000-0000-0000-0000-000000000000}"/>
  <workbookProtection workbookAlgorithmName="SHA-512" workbookHashValue="FOezhjWlFxAiOc7kz1XvyurMEpoQhHajzRcUXYPEc6/pd9KUYmCPiFXov+mr53hmFNU+GeTp0eEK+rJ+W7OOvQ==" workbookSaltValue="XYJHxE4SPYDRapbWth+gQQ==" workbookSpinCount="100000" lockStructure="1"/>
  <bookViews>
    <workbookView xWindow="-120" yWindow="-120" windowWidth="29040" windowHeight="16440" activeTab="3" xr2:uid="{00000000-000D-0000-FFFF-FFFF00000000}"/>
  </bookViews>
  <sheets>
    <sheet name="Титул" sheetId="1" r:id="rId1"/>
    <sheet name="Анкета" sheetId="2" r:id="rId2"/>
    <sheet name="База" sheetId="3" r:id="rId3"/>
    <sheet name="Анализ" sheetId="4" r:id="rId4"/>
    <sheet name="Справочники" sheetId="5" state="hidden" r:id="rId5"/>
  </sheets>
  <definedNames>
    <definedName name="_xlcn.WorksheetConnection_Сборзаявокнамаркетинговыеактивности.xlsmtblБазаДанных" hidden="1">tblБазаДанных[]</definedName>
    <definedName name="nextID">Справочники!$H$2</definedName>
    <definedName name="Срез_Ответственный_менеджер">#N/A</definedName>
    <definedName name="Срез_Статус_заявки">#N/A</definedName>
    <definedName name="Срез_Тип_активности">#N/A</definedName>
  </definedNames>
  <calcPr calcId="191029"/>
  <pivotCaches>
    <pivotCache cacheId="7" r:id="rId6"/>
  </pivotCaches>
  <extLst>
    <ext xmlns:x14="http://schemas.microsoft.com/office/spreadsheetml/2009/9/main" uri="{876F7934-8845-4945-9796-88D515C7AA90}">
      <x14:pivotCaches>
        <pivotCache cacheId="1" r:id="rId7"/>
      </x14:pivotCaches>
    </ext>
    <ext xmlns:x14="http://schemas.microsoft.com/office/spreadsheetml/2009/9/main" uri="{BBE1A952-AA13-448e-AADC-164F8A28A991}">
      <x14:slicerCaches>
        <x14:slicerCache r:id="rId8"/>
        <x14:slicerCache r:id="rId9"/>
        <x14:slicerCache r:id="rId10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blБазаДанных" name="tblБазаДанных" connection="WorksheetConnection_Сбор заявок на маркетинговые активности.xlsm!tblБазаДанных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6" i="3" l="1"/>
  <c r="G5" i="3"/>
  <c r="G4" i="3"/>
  <c r="G3" i="3"/>
  <c r="G2" i="3"/>
  <c r="H2" i="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BB010F8-9D0C-48E5-9BB7-89EFAE1A110A}" keepAlive="1" name="ThisWorkbookDataModel" description="Модель данных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A0A71B75-4A07-4071-B3E1-0D0F5E674106}" name="WorksheetConnection_Сбор заявок на маркетинговые активности.xlsm!tblБазаДанных" type="102" refreshedVersion="8" minRefreshableVersion="5">
    <extLst>
      <ext xmlns:x15="http://schemas.microsoft.com/office/spreadsheetml/2010/11/main" uri="{DE250136-89BD-433C-8126-D09CA5730AF9}">
        <x15:connection id="tblБазаДанных" autoDelete="1">
          <x15:rangePr sourceName="_xlcn.WorksheetConnection_Сборзаявокнамаркетинговыеактивности.xlsmtblБазаДанных"/>
        </x15:connection>
      </ext>
    </extLst>
  </connection>
</connections>
</file>

<file path=xl/sharedStrings.xml><?xml version="1.0" encoding="utf-8"?>
<sst xmlns="http://schemas.openxmlformats.org/spreadsheetml/2006/main" count="88" uniqueCount="64">
  <si>
    <t>Тип активности</t>
  </si>
  <si>
    <t>Ответственный менеджер</t>
  </si>
  <si>
    <t>Презентация</t>
  </si>
  <si>
    <t>Вебинар</t>
  </si>
  <si>
    <t>Статья в блоге</t>
  </si>
  <si>
    <t>Социальные сети</t>
  </si>
  <si>
    <t>Email-рассылка</t>
  </si>
  <si>
    <t>Иванова А.С.</t>
  </si>
  <si>
    <t>Петров В.И.</t>
  </si>
  <si>
    <t>Сидорова М.К.</t>
  </si>
  <si>
    <t>Статус заявки</t>
  </si>
  <si>
    <t>Новая</t>
  </si>
  <si>
    <t>В работе</t>
  </si>
  <si>
    <t>На согласовании</t>
  </si>
  <si>
    <t>Выполнена</t>
  </si>
  <si>
    <t>Отменена</t>
  </si>
  <si>
    <t>Бюджетная группа</t>
  </si>
  <si>
    <t>До 50 тыс. руб.</t>
  </si>
  <si>
    <t>50-200 тыс. руб.</t>
  </si>
  <si>
    <t>200-500 тыс. руб.</t>
  </si>
  <si>
    <t>Свыше 500 тыс. руб.</t>
  </si>
  <si>
    <t>Счетчик</t>
  </si>
  <si>
    <t>ID</t>
  </si>
  <si>
    <t>Дата создания</t>
  </si>
  <si>
    <t>Название проекта</t>
  </si>
  <si>
    <t>Запрашиваемый бюджет (руб.)</t>
  </si>
  <si>
    <t>Планируемая дата</t>
  </si>
  <si>
    <t>Комментарий</t>
  </si>
  <si>
    <t>Заявка на маркетинговую активность</t>
  </si>
  <si>
    <t>ID:</t>
  </si>
  <si>
    <t>Дата создания:</t>
  </si>
  <si>
    <t>Название проекта *:</t>
  </si>
  <si>
    <t>Ответственный менеджер *:</t>
  </si>
  <si>
    <t>Запрашиваемый бюджет (руб.) *:</t>
  </si>
  <si>
    <t>Статус заявки:</t>
  </si>
  <si>
    <t>* — обязательные поля для заполнения</t>
  </si>
  <si>
    <t>тест 1</t>
  </si>
  <si>
    <t>тест 2</t>
  </si>
  <si>
    <t>Общий итог</t>
  </si>
  <si>
    <t> Тип активности *:</t>
  </si>
  <si>
    <t> Планируемая дата *:</t>
  </si>
  <si>
    <t> Комментарий:</t>
  </si>
  <si>
    <t>ПОРТФОЛИО: Шаблон для сбора заявок</t>
  </si>
  <si>
    <t>Описание:</t>
  </si>
  <si>
    <t>Защищенный шаблон для сбора заявок на маркетинговые активности. Включает автоматическую проверку данных, сохранение в структурированную базу и формирование интерактивных отчетов.</t>
  </si>
  <si>
    <t>Инструкция:</t>
  </si>
  <si>
    <t>1. Заполните форму на листе «Анкета»</t>
  </si>
  <si>
    <t>2. Нажмите кнопку «Внести в базу»</t>
  </si>
  <si>
    <t>3. Анализируйте данные на листе «Анализ»</t>
  </si>
  <si>
    <t>Навигация:</t>
  </si>
  <si>
    <t>Анкета (Форма для заполнения)</t>
  </si>
  <si>
    <t>База данных (Все заявки)</t>
  </si>
  <si>
    <t>Анализ (Сводные отчеты)</t>
  </si>
  <si>
    <t>Примечание: Все ячейки, кроме выделенных цветом, защищены от изменений.</t>
  </si>
  <si>
    <t>Категория бюджета</t>
  </si>
  <si>
    <t>Сумма бюджета (руб.)</t>
  </si>
  <si>
    <t>Количество заявок</t>
  </si>
  <si>
    <t>пробуем</t>
  </si>
  <si>
    <t>тест 3</t>
  </si>
  <si>
    <t>пробуем 2</t>
  </si>
  <si>
    <t>тест 4</t>
  </si>
  <si>
    <t>автоматич.  Обн. На листе анализ</t>
  </si>
  <si>
    <t>тест 5</t>
  </si>
  <si>
    <t>контрольный тест, после защиты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</si>
</sst>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sz val="12"/>
      <color rgb="FF0F1115"/>
      <name val="Segoe UI"/>
      <family val="2"/>
      <charset val="204"/>
    </font>
    <font>
      <sz val="12"/>
      <color rgb="FF0F1115"/>
      <name val="Segoe UI"/>
      <family val="2"/>
      <charset val="204"/>
    </font>
    <font>
      <sz val="9.6"/>
      <color rgb="FF0F1115"/>
      <name val="Consolas"/>
      <family val="3"/>
      <charset val="204"/>
    </font>
    <font>
      <sz val="16"/>
      <color rgb="FF0F1115"/>
      <name val="Times New Roman"/>
      <family val="1"/>
      <charset val="204"/>
    </font>
    <font>
      <sz val="14"/>
      <color rgb="FF0F1115"/>
      <name val="Times New Roman"/>
      <family val="1"/>
      <charset val="204"/>
    </font>
    <font>
      <i/>
      <sz val="14"/>
      <color rgb="FF0F1115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4"/>
      <color theme="1"/>
      <name val="Times New Roman"/>
      <family val="1"/>
      <charset val="204"/>
    </font>
    <font>
      <u/>
      <sz val="11"/>
      <color theme="10"/>
      <name val="Calibri"/>
      <family val="2"/>
      <scheme val="minor"/>
    </font>
    <font>
      <u/>
      <sz val="14"/>
      <color theme="10"/>
      <name val="Times New Roman"/>
      <family val="1"/>
      <charset val="204"/>
    </font>
    <font>
      <b/>
      <sz val="14"/>
      <color rgb="FF0F1115"/>
      <name val="Times New Roman"/>
      <family val="1"/>
      <charset val="204"/>
    </font>
    <font>
      <b/>
      <sz val="14"/>
      <color rgb="FF000000"/>
      <name val="Times New Roman"/>
      <family val="1"/>
      <charset val="204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30">
    <xf numFmtId="0" fontId="0" fillId="0" borderId="0" xfId="0"/>
    <xf numFmtId="0" fontId="2" fillId="0" borderId="0" xfId="0" applyFont="1"/>
    <xf numFmtId="0" fontId="2" fillId="0" borderId="0" xfId="0" applyFont="1" applyAlignment="1">
      <alignment wrapText="1"/>
    </xf>
    <xf numFmtId="0" fontId="1" fillId="0" borderId="0" xfId="0" applyFont="1"/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left" vertical="center"/>
    </xf>
    <xf numFmtId="0" fontId="3" fillId="0" borderId="0" xfId="0" applyFont="1"/>
    <xf numFmtId="14" fontId="1" fillId="0" borderId="0" xfId="0" applyNumberFormat="1" applyFont="1"/>
    <xf numFmtId="0" fontId="0" fillId="0" borderId="0" xfId="0" applyProtection="1">
      <protection locked="0"/>
    </xf>
    <xf numFmtId="0" fontId="8" fillId="0" borderId="0" xfId="0" applyFont="1" applyProtection="1">
      <protection locked="0"/>
    </xf>
    <xf numFmtId="0" fontId="5" fillId="0" borderId="0" xfId="0" applyFont="1" applyProtection="1">
      <protection locked="0"/>
    </xf>
    <xf numFmtId="0" fontId="6" fillId="0" borderId="0" xfId="0" applyFont="1" applyProtection="1">
      <protection locked="0"/>
    </xf>
    <xf numFmtId="0" fontId="5" fillId="0" borderId="0" xfId="0" applyFont="1"/>
    <xf numFmtId="0" fontId="6" fillId="0" borderId="0" xfId="0" applyFont="1"/>
    <xf numFmtId="0" fontId="8" fillId="0" borderId="0" xfId="0" applyFont="1"/>
    <xf numFmtId="0" fontId="5" fillId="0" borderId="0" xfId="0" applyFont="1" applyAlignment="1">
      <alignment horizontal="left" vertical="center"/>
    </xf>
    <xf numFmtId="0" fontId="11" fillId="0" borderId="0" xfId="0" applyFont="1" applyProtection="1">
      <protection locked="0"/>
    </xf>
    <xf numFmtId="0" fontId="10" fillId="0" borderId="0" xfId="1" applyFont="1" applyProtection="1">
      <protection locked="0"/>
    </xf>
    <xf numFmtId="0" fontId="7" fillId="0" borderId="0" xfId="0" pivotButton="1" applyFont="1"/>
    <xf numFmtId="0" fontId="7" fillId="0" borderId="0" xfId="0" applyFont="1"/>
    <xf numFmtId="0" fontId="7" fillId="0" borderId="0" xfId="0" applyFont="1" applyAlignment="1">
      <alignment horizontal="left"/>
    </xf>
    <xf numFmtId="0" fontId="11" fillId="0" borderId="0" xfId="0" applyFont="1" applyAlignment="1" applyProtection="1">
      <alignment horizontal="center"/>
      <protection locked="0"/>
    </xf>
    <xf numFmtId="0" fontId="5" fillId="0" borderId="0" xfId="0" applyFont="1" applyAlignment="1" applyProtection="1">
      <alignment horizontal="left" vertical="center" wrapText="1"/>
      <protection locked="0"/>
    </xf>
    <xf numFmtId="0" fontId="8" fillId="2" borderId="1" xfId="0" applyFont="1" applyFill="1" applyBorder="1" applyAlignment="1" applyProtection="1">
      <alignment horizontal="center"/>
      <protection locked="0"/>
    </xf>
    <xf numFmtId="14" fontId="8" fillId="2" borderId="1" xfId="0" applyNumberFormat="1" applyFont="1" applyFill="1" applyBorder="1" applyAlignment="1" applyProtection="1">
      <alignment horizontal="center"/>
      <protection locked="0"/>
    </xf>
    <xf numFmtId="0" fontId="8" fillId="2" borderId="2" xfId="0" applyFont="1" applyFill="1" applyBorder="1" applyAlignment="1" applyProtection="1">
      <alignment horizontal="center"/>
      <protection locked="0"/>
    </xf>
    <xf numFmtId="0" fontId="4" fillId="0" borderId="0" xfId="0" applyFont="1" applyAlignment="1">
      <alignment horizontal="center"/>
    </xf>
    <xf numFmtId="0" fontId="8" fillId="0" borderId="1" xfId="0" quotePrefix="1" applyFont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7" fillId="0" borderId="0" xfId="0" applyNumberFormat="1" applyFont="1"/>
  </cellXfs>
  <cellStyles count="2">
    <cellStyle name="Гиперссылка" xfId="1" builtinId="8"/>
    <cellStyle name="Обычный" xfId="0" builtinId="0"/>
  </cellStyles>
  <dxfs count="56"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F1115"/>
        <name val="Segoe UI"/>
        <family val="2"/>
        <charset val="204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F1115"/>
        <name val="Segoe UI"/>
        <family val="2"/>
        <charset val="204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F1115"/>
        <name val="Segoe UI"/>
        <family val="2"/>
        <charset val="20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F1115"/>
        <name val="Segoe UI"/>
        <family val="2"/>
        <charset val="20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F1115"/>
        <name val="Segoe UI"/>
        <family val="2"/>
        <charset val="20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F1115"/>
        <name val="Segoe UI"/>
        <family val="2"/>
        <charset val="20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F1115"/>
        <name val="Segoe UI"/>
        <family val="2"/>
        <charset val="204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F1115"/>
        <name val="Segoe UI"/>
        <family val="2"/>
        <charset val="204"/>
        <scheme val="none"/>
      </font>
      <alignment horizontal="left" vertical="center" textRotation="0" wrapText="0" indent="0" justifyLastLine="0" shrinkToFit="0" readingOrder="0"/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F1115"/>
        <name val="Segoe UI"/>
        <family val="2"/>
        <charset val="20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F1115"/>
        <name val="Segoe UI"/>
        <family val="2"/>
        <charset val="20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F1115"/>
        <name val="Segoe UI"/>
        <family val="2"/>
        <charset val="20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F1115"/>
        <name val="Segoe UI"/>
        <family val="2"/>
        <charset val="20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F1115"/>
        <name val="Segoe UI"/>
        <family val="2"/>
        <charset val="20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F1115"/>
        <name val="Segoe UI"/>
        <family val="2"/>
        <charset val="20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F1115"/>
        <name val="Segoe UI"/>
        <family val="2"/>
        <charset val="20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F1115"/>
        <name val="Segoe UI"/>
        <family val="2"/>
        <charset val="20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F1115"/>
        <name val="Segoe UI"/>
        <family val="2"/>
        <charset val="20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F1115"/>
        <name val="Segoe UI"/>
        <family val="2"/>
        <charset val="20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F1115"/>
        <name val="Segoe UI"/>
        <family val="2"/>
        <charset val="20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F1115"/>
        <name val="Segoe UI"/>
        <family val="2"/>
        <charset val="204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1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connections" Target="connection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powerPivotData" Target="model/item.data"/><Relationship Id="rId10" Type="http://schemas.microsoft.com/office/2007/relationships/slicerCache" Target="slicerCaches/slicerCache3.xml"/><Relationship Id="rId4" Type="http://schemas.openxmlformats.org/officeDocument/2006/relationships/worksheet" Target="worksheets/sheet4.xml"/><Relationship Id="rId9" Type="http://schemas.microsoft.com/office/2007/relationships/slicerCache" Target="slicerCaches/slicerCache2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[Сбор заявок на маркетинговые активности.xlsm]Анализ!Сводная таблица1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400" b="0" i="0" u="none" strike="noStrike" baseline="0">
                <a:effectLst/>
              </a:rPr>
              <a:t>Анализ бюджета по категориям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Анализ!$B$1</c:f>
              <c:strCache>
                <c:ptCount val="1"/>
                <c:pt idx="0">
                  <c:v>Сумма бюджета (руб.)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Анализ!$A$2:$A$5</c:f>
              <c:strCache>
                <c:ptCount val="3"/>
                <c:pt idx="0">
                  <c:v>200-500 тыс. руб.</c:v>
                </c:pt>
                <c:pt idx="1">
                  <c:v>50-200 тыс. руб.</c:v>
                </c:pt>
                <c:pt idx="2">
                  <c:v>До 50 тыс. руб.</c:v>
                </c:pt>
              </c:strCache>
            </c:strRef>
          </c:cat>
          <c:val>
            <c:numRef>
              <c:f>Анализ!$B$2:$B$5</c:f>
              <c:numCache>
                <c:formatCode>General</c:formatCode>
                <c:ptCount val="3"/>
                <c:pt idx="0">
                  <c:v>450000</c:v>
                </c:pt>
                <c:pt idx="1">
                  <c:v>240000</c:v>
                </c:pt>
                <c:pt idx="2">
                  <c:v>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461-436A-979E-F80E2B274709}"/>
            </c:ext>
          </c:extLst>
        </c:ser>
        <c:ser>
          <c:idx val="1"/>
          <c:order val="1"/>
          <c:tx>
            <c:strRef>
              <c:f>Анализ!$C$1</c:f>
              <c:strCache>
                <c:ptCount val="1"/>
                <c:pt idx="0">
                  <c:v>Количество заявок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Анализ!$A$2:$A$5</c:f>
              <c:strCache>
                <c:ptCount val="3"/>
                <c:pt idx="0">
                  <c:v>200-500 тыс. руб.</c:v>
                </c:pt>
                <c:pt idx="1">
                  <c:v>50-200 тыс. руб.</c:v>
                </c:pt>
                <c:pt idx="2">
                  <c:v>До 50 тыс. руб.</c:v>
                </c:pt>
              </c:strCache>
            </c:strRef>
          </c:cat>
          <c:val>
            <c:numRef>
              <c:f>Анализ!$C$2:$C$5</c:f>
              <c:numCache>
                <c:formatCode>General</c:formatCode>
                <c:ptCount val="3"/>
                <c:pt idx="0">
                  <c:v>1</c:v>
                </c:pt>
                <c:pt idx="1">
                  <c:v>2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461-436A-979E-F80E2B27470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965203279"/>
        <c:axId val="1965204239"/>
      </c:barChart>
      <c:catAx>
        <c:axId val="196520327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000" b="0" i="0" u="none" strike="noStrike" baseline="0">
                    <a:effectLst/>
                  </a:rPr>
                  <a:t>Бюджетная группа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65204239"/>
        <c:crosses val="autoZero"/>
        <c:auto val="1"/>
        <c:lblAlgn val="ctr"/>
        <c:lblOffset val="100"/>
        <c:noMultiLvlLbl val="0"/>
      </c:catAx>
      <c:valAx>
        <c:axId val="19652042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000" b="0" i="0" u="none" strike="noStrike" baseline="0">
                    <a:effectLst/>
                  </a:rPr>
                  <a:t>Сумма (руб.) / Кол-во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652032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12</xdr:row>
          <xdr:rowOff>9525</xdr:rowOff>
        </xdr:from>
        <xdr:to>
          <xdr:col>4</xdr:col>
          <xdr:colOff>0</xdr:colOff>
          <xdr:row>13</xdr:row>
          <xdr:rowOff>9525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4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Внести</a:t>
              </a:r>
            </a:p>
            <a:p>
              <a:pPr algn="ctr" rtl="0">
                <a:defRPr sz="1000"/>
              </a:pPr>
              <a:endParaRPr lang="ru-RU" sz="1400" b="1" i="0" u="none" strike="noStrike" baseline="0">
                <a:solidFill>
                  <a:srgbClr val="000000"/>
                </a:solidFill>
                <a:latin typeface="Times New Roman"/>
                <a:cs typeface="Times New Roman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11</xdr:row>
          <xdr:rowOff>228600</xdr:rowOff>
        </xdr:from>
        <xdr:to>
          <xdr:col>6</xdr:col>
          <xdr:colOff>19050</xdr:colOff>
          <xdr:row>13</xdr:row>
          <xdr:rowOff>9525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4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609599</xdr:colOff>
      <xdr:row>0</xdr:row>
      <xdr:rowOff>0</xdr:rowOff>
    </xdr:from>
    <xdr:to>
      <xdr:col>13</xdr:col>
      <xdr:colOff>0</xdr:colOff>
      <xdr:row>15</xdr:row>
      <xdr:rowOff>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A48E8524-90EC-3BC5-1A1A-270251D4B18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4</xdr:col>
      <xdr:colOff>28575</xdr:colOff>
      <xdr:row>15</xdr:row>
      <xdr:rowOff>28575</xdr:rowOff>
    </xdr:from>
    <xdr:to>
      <xdr:col>7</xdr:col>
      <xdr:colOff>28576</xdr:colOff>
      <xdr:row>23</xdr:row>
      <xdr:rowOff>112568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Тип активности">
              <a:extLst>
                <a:ext uri="{FF2B5EF4-FFF2-40B4-BE49-F238E27FC236}">
                  <a16:creationId xmlns:a16="http://schemas.microsoft.com/office/drawing/2014/main" id="{FAC533AB-EFCA-2151-CFD5-AE1E386A677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Тип активности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607504" y="2954111"/>
              <a:ext cx="1836965" cy="160799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срез. Срезы поддерживаются только в Excel 2010 и более поздних версиях.
Если фигура была изменена в более ранней версии Excel или книга была сохранена в Excel 2003 или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38100</xdr:colOff>
      <xdr:row>15</xdr:row>
      <xdr:rowOff>19050</xdr:rowOff>
    </xdr:from>
    <xdr:to>
      <xdr:col>10</xdr:col>
      <xdr:colOff>38100</xdr:colOff>
      <xdr:row>23</xdr:row>
      <xdr:rowOff>103909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Ответственный менеджер">
              <a:extLst>
                <a:ext uri="{FF2B5EF4-FFF2-40B4-BE49-F238E27FC236}">
                  <a16:creationId xmlns:a16="http://schemas.microsoft.com/office/drawing/2014/main" id="{FC95740E-FA07-B518-B4BC-4F1D031F5BD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Ответственный менеджер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453993" y="2944586"/>
              <a:ext cx="1836964" cy="160885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срез. Срезы поддерживаются только в Excel 2010 и более поздних версиях.
Если фигура была изменена в более ранней версии Excel или книга была сохранена в Excel 2003 или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  <xdr:twoCellAnchor editAs="oneCell">
    <xdr:from>
      <xdr:col>10</xdr:col>
      <xdr:colOff>57150</xdr:colOff>
      <xdr:row>15</xdr:row>
      <xdr:rowOff>38100</xdr:rowOff>
    </xdr:from>
    <xdr:to>
      <xdr:col>13</xdr:col>
      <xdr:colOff>57150</xdr:colOff>
      <xdr:row>23</xdr:row>
      <xdr:rowOff>86591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Статус заявки">
              <a:extLst>
                <a:ext uri="{FF2B5EF4-FFF2-40B4-BE49-F238E27FC236}">
                  <a16:creationId xmlns:a16="http://schemas.microsoft.com/office/drawing/2014/main" id="{F850B53B-7F9B-2C07-2F23-799C9FC4D36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Статус заявки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310007" y="2963636"/>
              <a:ext cx="1836964" cy="157249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срез. Срезы поддерживаются только в Excel 2010 и более поздних версиях.
Если фигура была изменена в более ранней версии Excel или книга была сохранена в Excel 2003 или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Мурлыкина" refreshedDate="45997.117830671297" backgroundQuery="1" createdVersion="8" refreshedVersion="8" minRefreshableVersion="3" recordCount="0" supportSubquery="1" supportAdvancedDrill="1" xr:uid="{511F51DD-FF09-4E8D-9FC8-332F8A4FD34F}">
  <cacheSource type="external" connectionId="1"/>
  <cacheFields count="4">
    <cacheField name="[tblБазаДанных].[Бюджетная группа].[Бюджетная группа]" caption="Бюджетная группа" numFmtId="0" hierarchy="6" level="1">
      <sharedItems count="3">
        <s v="200-500 тыс. руб."/>
        <s v="50-200 тыс. руб."/>
        <s v="До 50 тыс. руб."/>
      </sharedItems>
    </cacheField>
    <cacheField name="[Measures].[Сумма по столбцу Запрашиваемый бюджет (руб.)]" caption="Сумма по столбцу Запрашиваемый бюджет (руб.)" numFmtId="0" hierarchy="12" level="32767"/>
    <cacheField name="[Measures].[Число элементов в столбце ID]" caption="Число элементов в столбце ID" numFmtId="0" hierarchy="14" level="32767"/>
    <cacheField name="[tblБазаДанных].[Статус заявки].[Статус заявки]" caption="Статус заявки" numFmtId="0" hierarchy="8" level="1">
      <sharedItems containsSemiMixedTypes="0" containsNonDate="0" containsString="0"/>
    </cacheField>
  </cacheFields>
  <cacheHierarchies count="15">
    <cacheHierarchy uniqueName="[tblБазаДанных].[ID]" caption="ID" attribute="1" defaultMemberUniqueName="[tblБазаДанных].[ID].[All]" allUniqueName="[tblБазаДанных].[ID].[All]" dimensionUniqueName="[tblБазаДанных]" displayFolder="" count="0" memberValueDatatype="20" unbalanced="0"/>
    <cacheHierarchy uniqueName="[tblБазаДанных].[Дата создания]" caption="Дата создания" attribute="1" time="1" defaultMemberUniqueName="[tblБазаДанных].[Дата создания].[All]" allUniqueName="[tblБазаДанных].[Дата создания].[All]" dimensionUniqueName="[tblБазаДанных]" displayFolder="" count="0" memberValueDatatype="7" unbalanced="0"/>
    <cacheHierarchy uniqueName="[tblБазаДанных].[Тип активности]" caption="Тип активности" attribute="1" defaultMemberUniqueName="[tblБазаДанных].[Тип активности].[All]" allUniqueName="[tblБазаДанных].[Тип активности].[All]" dimensionUniqueName="[tblБазаДанных]" displayFolder="" count="2" memberValueDatatype="130" unbalanced="0"/>
    <cacheHierarchy uniqueName="[tblБазаДанных].[Название проекта]" caption="Название проекта" attribute="1" defaultMemberUniqueName="[tblБазаДанных].[Название проекта].[All]" allUniqueName="[tblБазаДанных].[Название проекта].[All]" dimensionUniqueName="[tblБазаДанных]" displayFolder="" count="0" memberValueDatatype="130" unbalanced="0"/>
    <cacheHierarchy uniqueName="[tblБазаДанных].[Ответственный менеджер]" caption="Ответственный менеджер" attribute="1" defaultMemberUniqueName="[tblБазаДанных].[Ответственный менеджер].[All]" allUniqueName="[tblБазаДанных].[Ответственный менеджер].[All]" dimensionUniqueName="[tblБазаДанных]" displayFolder="" count="2" memberValueDatatype="130" unbalanced="0"/>
    <cacheHierarchy uniqueName="[tblБазаДанных].[Запрашиваемый бюджет (руб.)]" caption="Запрашиваемый бюджет (руб.)" attribute="1" defaultMemberUniqueName="[tblБазаДанных].[Запрашиваемый бюджет (руб.)].[All]" allUniqueName="[tblБазаДанных].[Запрашиваемый бюджет (руб.)].[All]" dimensionUniqueName="[tblБазаДанных]" displayFolder="" count="0" memberValueDatatype="20" unbalanced="0"/>
    <cacheHierarchy uniqueName="[tblБазаДанных].[Бюджетная группа]" caption="Бюджетная группа" attribute="1" defaultMemberUniqueName="[tblБазаДанных].[Бюджетная группа].[All]" allUniqueName="[tblБазаДанных].[Бюджетная группа].[All]" dimensionUniqueName="[tblБазаДанных]" displayFolder="" count="2" memberValueDatatype="130" unbalanced="0">
      <fieldsUsage count="2">
        <fieldUsage x="-1"/>
        <fieldUsage x="0"/>
      </fieldsUsage>
    </cacheHierarchy>
    <cacheHierarchy uniqueName="[tblБазаДанных].[Планируемая дата]" caption="Планируемая дата" attribute="1" time="1" defaultMemberUniqueName="[tblБазаДанных].[Планируемая дата].[All]" allUniqueName="[tblБазаДанных].[Планируемая дата].[All]" dimensionUniqueName="[tblБазаДанных]" displayFolder="" count="0" memberValueDatatype="7" unbalanced="0"/>
    <cacheHierarchy uniqueName="[tblБазаДанных].[Статус заявки]" caption="Статус заявки" attribute="1" defaultMemberUniqueName="[tblБазаДанных].[Статус заявки].[All]" allUniqueName="[tblБазаДанных].[Статус заявки].[All]" dimensionUniqueName="[tblБазаДанных]" displayFolder="" count="2" memberValueDatatype="130" unbalanced="0">
      <fieldsUsage count="2">
        <fieldUsage x="-1"/>
        <fieldUsage x="3"/>
      </fieldsUsage>
    </cacheHierarchy>
    <cacheHierarchy uniqueName="[tblБазаДанных].[Комментарий]" caption="Комментарий" attribute="1" defaultMemberUniqueName="[tblБазаДанных].[Комментарий].[All]" allUniqueName="[tblБазаДанных].[Комментарий].[All]" dimensionUniqueName="[tblБазаДанных]" displayFolder="" count="0" memberValueDatatype="130" unbalanced="0"/>
    <cacheHierarchy uniqueName="[Measures].[__XL_Count tblБазаДанных]" caption="__XL_Count tblБазаДанных" measure="1" displayFolder="" measureGroup="tblБазаДанных" count="0" hidden="1"/>
    <cacheHierarchy uniqueName="[Measures].[__No measures defined]" caption="__No measures defined" measure="1" displayFolder="" count="0" hidden="1"/>
    <cacheHierarchy uniqueName="[Measures].[Сумма по столбцу Запрашиваемый бюджет (руб.)]" caption="Сумма по столбцу Запрашиваемый бюджет (руб.)" measure="1" displayFolder="" measureGroup="tblБазаДанных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Сумма по столбцу ID]" caption="Сумма по столбцу ID" measure="1" displayFolder="" measureGroup="tblБазаДанных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Число элементов в столбце ID]" caption="Число элементов в столбце ID" measure="1" displayFolder="" measureGroup="tblБазаДанных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0"/>
        </ext>
      </extLst>
    </cacheHierarchy>
  </cacheHierarchies>
  <kpis count="0"/>
  <dimensions count="2">
    <dimension measure="1" name="Measures" uniqueName="[Measures]" caption="Measures"/>
    <dimension name="tblБазаДанных" uniqueName="[tblБазаДанных]" caption="tblБазаДанных"/>
  </dimensions>
  <measureGroups count="1">
    <measureGroup name="tblБазаДанных" caption="tblБазаДанных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Мурлыкина" refreshedDate="45997.064679861112" backgroundQuery="1" createdVersion="3" refreshedVersion="8" minRefreshableVersion="3" recordCount="0" supportSubquery="1" supportAdvancedDrill="1" xr:uid="{4AF0E09D-B873-421B-8CBC-B4F04E172C45}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15">
    <cacheHierarchy uniqueName="[tblБазаДанных].[ID]" caption="ID" attribute="1" defaultMemberUniqueName="[tblБазаДанных].[ID].[All]" allUniqueName="[tblБазаДанных].[ID].[All]" dimensionUniqueName="[tblБазаДанных]" displayFolder="" count="0" memberValueDatatype="20" unbalanced="0"/>
    <cacheHierarchy uniqueName="[tblБазаДанных].[Дата создания]" caption="Дата создания" attribute="1" time="1" defaultMemberUniqueName="[tblБазаДанных].[Дата создания].[All]" allUniqueName="[tblБазаДанных].[Дата создания].[All]" dimensionUniqueName="[tblБазаДанных]" displayFolder="" count="0" memberValueDatatype="7" unbalanced="0"/>
    <cacheHierarchy uniqueName="[tblБазаДанных].[Тип активности]" caption="Тип активности" attribute="1" defaultMemberUniqueName="[tblБазаДанных].[Тип активности].[All]" allUniqueName="[tblБазаДанных].[Тип активности].[All]" dimensionUniqueName="[tblБазаДанных]" displayFolder="" count="2" memberValueDatatype="130" unbalanced="0"/>
    <cacheHierarchy uniqueName="[tblБазаДанных].[Название проекта]" caption="Название проекта" attribute="1" defaultMemberUniqueName="[tblБазаДанных].[Название проекта].[All]" allUniqueName="[tblБазаДанных].[Название проекта].[All]" dimensionUniqueName="[tblБазаДанных]" displayFolder="" count="0" memberValueDatatype="130" unbalanced="0"/>
    <cacheHierarchy uniqueName="[tblБазаДанных].[Ответственный менеджер]" caption="Ответственный менеджер" attribute="1" defaultMemberUniqueName="[tblБазаДанных].[Ответственный менеджер].[All]" allUniqueName="[tblБазаДанных].[Ответственный менеджер].[All]" dimensionUniqueName="[tblБазаДанных]" displayFolder="" count="2" memberValueDatatype="130" unbalanced="0"/>
    <cacheHierarchy uniqueName="[tblБазаДанных].[Запрашиваемый бюджет (руб.)]" caption="Запрашиваемый бюджет (руб.)" attribute="1" defaultMemberUniqueName="[tblБазаДанных].[Запрашиваемый бюджет (руб.)].[All]" allUniqueName="[tblБазаДанных].[Запрашиваемый бюджет (руб.)].[All]" dimensionUniqueName="[tblБазаДанных]" displayFolder="" count="0" memberValueDatatype="20" unbalanced="0"/>
    <cacheHierarchy uniqueName="[tblБазаДанных].[Бюджетная группа]" caption="Бюджетная группа" attribute="1" defaultMemberUniqueName="[tblБазаДанных].[Бюджетная группа].[All]" allUniqueName="[tblБазаДанных].[Бюджетная группа].[All]" dimensionUniqueName="[tblБазаДанных]" displayFolder="" count="0" memberValueDatatype="130" unbalanced="0"/>
    <cacheHierarchy uniqueName="[tblБазаДанных].[Планируемая дата]" caption="Планируемая дата" attribute="1" time="1" defaultMemberUniqueName="[tblБазаДанных].[Планируемая дата].[All]" allUniqueName="[tblБазаДанных].[Планируемая дата].[All]" dimensionUniqueName="[tblБазаДанных]" displayFolder="" count="0" memberValueDatatype="7" unbalanced="0"/>
    <cacheHierarchy uniqueName="[tblБазаДанных].[Статус заявки]" caption="Статус заявки" attribute="1" defaultMemberUniqueName="[tblБазаДанных].[Статус заявки].[All]" allUniqueName="[tblБазаДанных].[Статус заявки].[All]" dimensionUniqueName="[tblБазаДанных]" displayFolder="" count="2" memberValueDatatype="130" unbalanced="0"/>
    <cacheHierarchy uniqueName="[tblБазаДанных].[Комментарий]" caption="Комментарий" attribute="1" defaultMemberUniqueName="[tblБазаДанных].[Комментарий].[All]" allUniqueName="[tblБазаДанных].[Комментарий].[All]" dimensionUniqueName="[tblБазаДанных]" displayFolder="" count="0" memberValueDatatype="130" unbalanced="0"/>
    <cacheHierarchy uniqueName="[Measures].[__XL_Count tblБазаДанных]" caption="__XL_Count tblБазаДанных" measure="1" displayFolder="" measureGroup="tblБазаДанных" count="0" hidden="1"/>
    <cacheHierarchy uniqueName="[Measures].[__No measures defined]" caption="__No measures defined" measure="1" displayFolder="" count="0" hidden="1"/>
    <cacheHierarchy uniqueName="[Measures].[Сумма по столбцу Запрашиваемый бюджет (руб.)]" caption="Сумма по столбцу Запрашиваемый бюджет (руб.)" measure="1" displayFolder="" measureGroup="tblБазаДанных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Сумма по столбцу ID]" caption="Сумма по столбцу ID" measure="1" displayFolder="" measureGroup="tblБазаДанных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Число элементов в столбце ID]" caption="Число элементов в столбце ID" measure="1" displayFolder="" measureGroup="tblБазаДанных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</cacheHierarchies>
  <kpis count="0"/>
  <extLst>
    <ext xmlns:x14="http://schemas.microsoft.com/office/spreadsheetml/2009/9/main" uri="{725AE2AE-9491-48be-B2B4-4EB974FC3084}">
      <x14:pivotCacheDefinition slicerData="1" pivotCacheId="336578770"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22A9247-1723-4634-9C3B-28418D348422}" name="Сводная таблица1" cacheId="7" applyNumberFormats="0" applyBorderFormats="0" applyFontFormats="0" applyPatternFormats="0" applyAlignmentFormats="0" applyWidthHeightFormats="1" dataCaption="Значения" updatedVersion="8" minRefreshableVersion="3" useAutoFormatting="1" itemPrintTitles="1" createdVersion="8" indent="0" outline="1" outlineData="1" multipleFieldFilters="0" chartFormat="6" rowHeaderCaption="Категория бюджета">
  <location ref="A1:C5" firstHeaderRow="0" firstDataRow="1" firstDataCol="1"/>
  <pivotFields count="4">
    <pivotField axis="axisRow" allDrilled="1" subtotalTop="0" showAll="0" dataSourceSort="1" defaultSubtotal="0" defaultAttributeDrillState="1">
      <items count="3">
        <item x="0"/>
        <item x="1"/>
        <item x="2"/>
      </items>
    </pivotField>
    <pivotField dataField="1" subtotalTop="0" showAll="0" defaultSubtotal="0"/>
    <pivotField dataField="1" subtotalTop="0" showAll="0" defaultSubtotal="0"/>
    <pivotField allDrilled="1" subtotalTop="0" showAll="0" dataSourceSort="1" defaultSubtotal="0" defaultAttributeDrillState="1"/>
  </pivotFields>
  <rowFields count="1">
    <field x="0"/>
  </rowFields>
  <rowItems count="4">
    <i>
      <x/>
    </i>
    <i>
      <x v="1"/>
    </i>
    <i>
      <x v="2"/>
    </i>
    <i t="grand">
      <x/>
    </i>
  </rowItems>
  <colFields count="1">
    <field x="-2"/>
  </colFields>
  <colItems count="2">
    <i>
      <x/>
    </i>
    <i i="1">
      <x v="1"/>
    </i>
  </colItems>
  <dataFields count="2">
    <dataField name="Сумма бюджета (руб.)" fld="1" baseField="0" baseItem="0"/>
    <dataField name="Количество заявок" fld="2" subtotal="count" baseField="0" baseItem="0"/>
  </dataFields>
  <formats count="12">
    <format dxfId="43">
      <pivotArea type="all" dataOnly="0" outline="0" fieldPosition="0"/>
    </format>
    <format dxfId="42">
      <pivotArea outline="0" collapsedLevelsAreSubtotals="1" fieldPosition="0"/>
    </format>
    <format dxfId="41">
      <pivotArea field="0" type="button" dataOnly="0" labelOnly="1" outline="0" axis="axisRow" fieldPosition="0"/>
    </format>
    <format dxfId="40">
      <pivotArea dataOnly="0" labelOnly="1" fieldPosition="0">
        <references count="1">
          <reference field="0" count="0"/>
        </references>
      </pivotArea>
    </format>
    <format dxfId="39">
      <pivotArea dataOnly="0" labelOnly="1" grandRow="1" outline="0" fieldPosition="0"/>
    </format>
    <format dxfId="38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37">
      <pivotArea type="all" dataOnly="0" outline="0" fieldPosition="0"/>
    </format>
    <format dxfId="36">
      <pivotArea outline="0" collapsedLevelsAreSubtotals="1" fieldPosition="0"/>
    </format>
    <format dxfId="35">
      <pivotArea field="0" type="button" dataOnly="0" labelOnly="1" outline="0" axis="axisRow" fieldPosition="0"/>
    </format>
    <format dxfId="34">
      <pivotArea dataOnly="0" labelOnly="1" fieldPosition="0">
        <references count="1">
          <reference field="0" count="0"/>
        </references>
      </pivotArea>
    </format>
    <format dxfId="33">
      <pivotArea dataOnly="0" labelOnly="1" grandRow="1" outline="0" fieldPosition="0"/>
    </format>
    <format dxfId="32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Hierarchies count="15">
    <pivotHierarchy dragToData="1"/>
    <pivotHierarchy dragToData="1"/>
    <pivotHierarchy multipleItemSelectionAllowed="1" dragToData="1"/>
    <pivotHierarchy dragToData="1"/>
    <pivotHierarchy multipleItemSelectionAllowed="1" dragToData="1"/>
    <pivotHierarchy dragToData="1"/>
    <pivotHierarchy dragToData="1"/>
    <pivotHierarchy dragToData="1"/>
    <pivotHierarchy multipleItemSelectionAllowed="1" dragToData="1">
      <members count="1" level="1">
        <member name="[tblБазаДанных].[Статус заявки].&amp;[Новая]"/>
      </members>
    </pivotHierarchy>
    <pivotHierarchy dragToData="1"/>
    <pivotHierarchy dragToRow="0" dragToCol="0" dragToPage="0" dragToData="1"/>
    <pivotHierarchy dragToRow="0" dragToCol="0" dragToPage="0" dragToData="1"/>
    <pivotHierarchy dragToData="1" caption="Сумма бюджета (руб.)"/>
    <pivotHierarchy dragToData="1"/>
    <pivotHierarchy dragToData="1" caption="Количество заявок"/>
  </pivotHierarchies>
  <pivotTableStyleInfo name="PivotStyleLight16" showRowHeaders="1" showColHeaders="1" showRowStripes="0" showColStripes="0" showLastColumn="1"/>
  <rowHierarchiesUsage count="1">
    <rowHierarchyUsage hierarchyUsage="6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Сбор заявок на маркетинговые активности.xlsm!tblБазаДанных">
        <x15:activeTabTopLevelEntity name="[tblБазаДанных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Тип_активности" xr10:uid="{EDC61CD4-E5D3-4FD6-B610-3559DDF6C5A4}" sourceName="[tblБазаДанных].[Тип активности]">
  <pivotTables>
    <pivotTable tabId="4" name="Сводная таблица1"/>
  </pivotTables>
  <data>
    <olap pivotCacheId="336578770">
      <levels count="2">
        <level uniqueName="[tblБазаДанных].[Тип активности].[(All)]" sourceCaption="(All)" count="0"/>
        <level uniqueName="[tblБазаДанных].[Тип активности].[Тип активности]" sourceCaption="Тип активности" count="4">
          <ranges>
            <range startItem="0">
              <i n="[tblБазаДанных].[Тип активности].&amp;[Презентация]" c="Презентация"/>
              <i n="[tblБазаДанных].[Тип активности].&amp;[Социальные сети]" c="Социальные сети"/>
              <i n="[tblБазаДанных].[Тип активности].&amp;[Статья в блоге]" c="Статья в блоге"/>
              <i n="[tblБазаДанных].[Тип активности].&amp;[Вебинар]" c="Вебинар" nd="1"/>
            </range>
          </ranges>
        </level>
      </levels>
      <selections count="1">
        <selection n="[tblБазаДанных].[Тип активности].[All]"/>
      </selections>
    </olap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Ответственный_менеджер" xr10:uid="{A7AF4D6B-126B-4583-B0C2-AC23268651E2}" sourceName="[tblБазаДанных].[Ответственный менеджер]">
  <pivotTables>
    <pivotTable tabId="4" name="Сводная таблица1"/>
  </pivotTables>
  <data>
    <olap pivotCacheId="336578770">
      <levels count="2">
        <level uniqueName="[tblБазаДанных].[Ответственный менеджер].[(All)]" sourceCaption="(All)" count="0"/>
        <level uniqueName="[tblБазаДанных].[Ответственный менеджер].[Ответственный менеджер]" sourceCaption="Ответственный менеджер" count="3">
          <ranges>
            <range startItem="0">
              <i n="[tblБазаДанных].[Ответственный менеджер].&amp;[Иванова А.С.]" c="Иванова А.С."/>
              <i n="[tblБазаДанных].[Ответственный менеджер].&amp;[Сидорова М.К.]" c="Сидорова М.К."/>
              <i n="[tblБазаДанных].[Ответственный менеджер].&amp;[Петров В.И.]" c="Петров В.И." nd="1"/>
            </range>
          </ranges>
        </level>
      </levels>
      <selections count="1">
        <selection n="[tblБазаДанных].[Ответственный менеджер].[All]"/>
      </selections>
    </olap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Статус_заявки" xr10:uid="{41943277-B355-4EEF-AF4E-B1740B664583}" sourceName="[tblБазаДанных].[Статус заявки]">
  <pivotTables>
    <pivotTable tabId="4" name="Сводная таблица1"/>
  </pivotTables>
  <data>
    <olap pivotCacheId="336578770">
      <levels count="2">
        <level uniqueName="[tblБазаДанных].[Статус заявки].[(All)]" sourceCaption="(All)" count="0"/>
        <level uniqueName="[tblБазаДанных].[Статус заявки].[Статус заявки]" sourceCaption="Статус заявки" count="2">
          <ranges>
            <range startItem="0">
              <i n="[tblБазаДанных].[Статус заявки].&amp;" c="(пусто)"/>
              <i n="[tblБазаДанных].[Статус заявки].&amp;[Новая]" c="Новая"/>
            </range>
          </ranges>
        </level>
      </levels>
      <selections count="1">
        <selection n="[tblБазаДанных].[Статус заявки].&amp;[Новая]"/>
      </selections>
    </olap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Тип активности" xr10:uid="{FDAD3841-4609-44A3-99F2-89A617AC45C6}" cache="Срез_Тип_активности" caption="Тип активности" level="1" rowHeight="241300"/>
  <slicer name="Ответственный менеджер" xr10:uid="{58334C1A-DD72-4B30-B5CC-A6652C710B51}" cache="Срез_Ответственный_менеджер" caption="Ответственный менеджер" level="1" rowHeight="241300"/>
  <slicer name="Статус заявки" xr10:uid="{A60B623E-1C07-45DF-B4C2-4220DC0B77D0}" cache="Срез_Статус_заявки" caption="Статус заявки" level="1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CCFCD12-31E7-477F-A17B-A8C4C78D20D7}" name="tblБазаДанных" displayName="tblБазаДанных" ref="A1:J6" insertRowShift="1" totalsRowShown="0" headerRowDxfId="55" dataDxfId="54">
  <autoFilter ref="A1:J6" xr:uid="{BCCFCD12-31E7-477F-A17B-A8C4C78D20D7}"/>
  <tableColumns count="10">
    <tableColumn id="1" xr3:uid="{83ED198D-1A9C-4D58-A5B2-DBF2FD8F43E4}" name="ID" dataDxfId="53"/>
    <tableColumn id="2" xr3:uid="{2C1A231D-0BE1-445B-85BF-5AD8CC60C82F}" name="Дата создания" dataDxfId="52"/>
    <tableColumn id="3" xr3:uid="{0B06F735-FB9A-493A-BB3B-8B4F751AF771}" name="Тип активности" dataDxfId="51"/>
    <tableColumn id="4" xr3:uid="{BAB09421-D1E8-4628-B792-A6256C956C49}" name="Название проекта" dataDxfId="50"/>
    <tableColumn id="5" xr3:uid="{325BB9DA-C6F6-4268-BA3B-115A164355C4}" name="Ответственный менеджер" dataDxfId="49"/>
    <tableColumn id="6" xr3:uid="{D78A90FE-874F-4E22-BEB4-AEC2265A4EA4}" name="Запрашиваемый бюджет (руб.)" dataDxfId="48"/>
    <tableColumn id="7" xr3:uid="{5F3B5FE4-6667-44BE-AD56-DC07F84F68CF}" name="Бюджетная группа" dataDxfId="47">
      <calculatedColumnFormula>IF(F2="", "", IF(F2&lt;=50000, "До 50 тыс. руб.", IF(F2&lt;=200000, "50-200 тыс. руб.", IF(F2&lt;=500000, "200-500 тыс. руб.", "Свыше 500 тыс. руб."))))</calculatedColumnFormula>
    </tableColumn>
    <tableColumn id="8" xr3:uid="{C912AFC0-D845-42A9-A849-5D058B78AAE2}" name="Планируемая дата" dataDxfId="46"/>
    <tableColumn id="9" xr3:uid="{A9EA2D90-4935-46CA-9F81-2C00179357A7}" name="Статус заявки" dataDxfId="45"/>
    <tableColumn id="10" xr3:uid="{48FAE63A-FA28-4987-8F10-737798F91B75}" name="Комментарий" dataDxfId="4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E55A188-B46F-4418-B1CE-593D2A118EA5}" name="tblТипАктивности" displayName="tblТипАктивности" ref="A1:B6" totalsRowShown="0">
  <autoFilter ref="A1:B6" xr:uid="{7E55A188-B46F-4418-B1CE-593D2A118EA5}"/>
  <tableColumns count="2">
    <tableColumn id="1" xr3:uid="{674C511B-AC0E-4D8D-AE4B-24C33F98E067}" name="Тип активности" dataDxfId="31"/>
    <tableColumn id="2" xr3:uid="{285B2BD1-A58E-4B03-9381-13A841EE1DE1}" name="Ответственный менеджер" dataDxfId="3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D19F6C2-9485-41F6-950C-01CE2FFDDA53}" name="tblСтатус" displayName="tblСтатус" ref="D1:D6" totalsRowShown="0" headerRowDxfId="29" dataDxfId="28">
  <autoFilter ref="D1:D6" xr:uid="{9D19F6C2-9485-41F6-950C-01CE2FFDDA53}"/>
  <tableColumns count="1">
    <tableColumn id="1" xr3:uid="{73A48A43-05C4-4FC8-9CC9-90EC7F6545F4}" name="Статус заявки" dataDxfId="27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B784847-DBD9-479D-A906-7661852D1BCD}" name="tblБюджет" displayName="tblБюджет" ref="F1:F5" totalsRowShown="0" headerRowDxfId="26" dataDxfId="25">
  <autoFilter ref="F1:F5" xr:uid="{6B784847-DBD9-479D-A906-7661852D1BCD}"/>
  <tableColumns count="1">
    <tableColumn id="1" xr3:uid="{942E00FF-9BE2-4CF7-B8DA-9847328E009D}" name="Бюджетная группа" dataDxfId="2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F17"/>
  <sheetViews>
    <sheetView workbookViewId="0">
      <selection activeCell="A14" sqref="A14"/>
    </sheetView>
  </sheetViews>
  <sheetFormatPr defaultColWidth="0" defaultRowHeight="15" zeroHeight="1" x14ac:dyDescent="0.25"/>
  <cols>
    <col min="1" max="1" width="48" bestFit="1" customWidth="1"/>
    <col min="2" max="6" width="9.140625" customWidth="1"/>
    <col min="7" max="16384" width="9.140625" hidden="1"/>
  </cols>
  <sheetData>
    <row r="1" spans="1:6" ht="18.75" x14ac:dyDescent="0.3">
      <c r="A1" s="21" t="s">
        <v>42</v>
      </c>
      <c r="B1" s="21"/>
      <c r="C1" s="21"/>
      <c r="D1" s="21"/>
      <c r="E1" s="21"/>
      <c r="F1" s="21"/>
    </row>
    <row r="2" spans="1:6" ht="18.75" x14ac:dyDescent="0.3">
      <c r="A2" s="9"/>
      <c r="B2" s="9"/>
      <c r="C2" s="9"/>
      <c r="D2" s="9"/>
      <c r="E2" s="9"/>
      <c r="F2" s="9"/>
    </row>
    <row r="3" spans="1:6" ht="18.75" x14ac:dyDescent="0.3">
      <c r="A3" s="16" t="s">
        <v>43</v>
      </c>
      <c r="B3" s="9"/>
      <c r="C3" s="9"/>
      <c r="D3" s="9"/>
      <c r="E3" s="9"/>
      <c r="F3" s="9"/>
    </row>
    <row r="4" spans="1:6" ht="105" customHeight="1" x14ac:dyDescent="0.25">
      <c r="A4" s="22" t="s">
        <v>44</v>
      </c>
      <c r="B4" s="22"/>
      <c r="C4" s="22"/>
      <c r="D4" s="22"/>
      <c r="E4" s="22"/>
      <c r="F4" s="22"/>
    </row>
    <row r="5" spans="1:6" ht="18.75" x14ac:dyDescent="0.3">
      <c r="A5" s="9"/>
      <c r="B5" s="9"/>
      <c r="C5" s="9"/>
      <c r="D5" s="9"/>
      <c r="E5" s="9"/>
      <c r="F5" s="9"/>
    </row>
    <row r="6" spans="1:6" ht="18.75" x14ac:dyDescent="0.3">
      <c r="A6" s="16" t="s">
        <v>45</v>
      </c>
      <c r="B6" s="9"/>
      <c r="C6" s="9"/>
      <c r="D6" s="9"/>
      <c r="E6" s="9"/>
      <c r="F6" s="9"/>
    </row>
    <row r="7" spans="1:6" ht="18.75" x14ac:dyDescent="0.3">
      <c r="A7" s="10" t="s">
        <v>46</v>
      </c>
      <c r="B7" s="9"/>
      <c r="C7" s="9"/>
      <c r="D7" s="9"/>
      <c r="E7" s="9"/>
      <c r="F7" s="9"/>
    </row>
    <row r="8" spans="1:6" ht="18.75" x14ac:dyDescent="0.3">
      <c r="A8" s="10" t="s">
        <v>47</v>
      </c>
      <c r="B8" s="9"/>
      <c r="C8" s="9"/>
      <c r="D8" s="9"/>
      <c r="E8" s="9"/>
      <c r="F8" s="9"/>
    </row>
    <row r="9" spans="1:6" ht="18.75" x14ac:dyDescent="0.3">
      <c r="A9" s="10" t="s">
        <v>48</v>
      </c>
      <c r="B9" s="9"/>
      <c r="C9" s="9"/>
      <c r="D9" s="9"/>
      <c r="E9" s="9"/>
      <c r="F9" s="9"/>
    </row>
    <row r="10" spans="1:6" ht="18.75" x14ac:dyDescent="0.3">
      <c r="A10" s="9"/>
      <c r="B10" s="9"/>
      <c r="C10" s="9"/>
      <c r="D10" s="9"/>
      <c r="E10" s="9"/>
      <c r="F10" s="9"/>
    </row>
    <row r="11" spans="1:6" ht="18.75" x14ac:dyDescent="0.3">
      <c r="A11" s="16" t="s">
        <v>49</v>
      </c>
      <c r="B11" s="9"/>
      <c r="C11" s="9"/>
      <c r="D11" s="9"/>
      <c r="E11" s="9"/>
      <c r="F11" s="9"/>
    </row>
    <row r="12" spans="1:6" ht="18.75" x14ac:dyDescent="0.3">
      <c r="A12" s="17" t="s">
        <v>50</v>
      </c>
      <c r="B12" s="9"/>
      <c r="C12" s="9"/>
      <c r="D12" s="9"/>
      <c r="E12" s="9"/>
      <c r="F12" s="9"/>
    </row>
    <row r="13" spans="1:6" ht="18.75" x14ac:dyDescent="0.3">
      <c r="A13" s="17" t="s">
        <v>51</v>
      </c>
      <c r="B13" s="9"/>
      <c r="C13" s="9"/>
      <c r="D13" s="9"/>
      <c r="E13" s="9"/>
      <c r="F13" s="9"/>
    </row>
    <row r="14" spans="1:6" ht="18.75" x14ac:dyDescent="0.3">
      <c r="A14" s="17" t="s">
        <v>52</v>
      </c>
      <c r="B14" s="9"/>
      <c r="C14" s="9"/>
      <c r="D14" s="9"/>
      <c r="E14" s="9"/>
      <c r="F14" s="9"/>
    </row>
    <row r="15" spans="1:6" ht="18.75" x14ac:dyDescent="0.3">
      <c r="A15" s="9"/>
      <c r="B15" s="9"/>
      <c r="C15" s="9"/>
      <c r="D15" s="9"/>
      <c r="E15" s="9"/>
      <c r="F15" s="9"/>
    </row>
    <row r="16" spans="1:6" ht="18.75" x14ac:dyDescent="0.3">
      <c r="A16" s="11" t="s">
        <v>53</v>
      </c>
      <c r="B16" s="9"/>
      <c r="C16" s="9"/>
      <c r="D16" s="9"/>
      <c r="E16" s="9"/>
      <c r="F16" s="9"/>
    </row>
    <row r="17" spans="1:6" x14ac:dyDescent="0.25">
      <c r="A17" s="8"/>
      <c r="B17" s="8"/>
      <c r="C17" s="8"/>
      <c r="D17" s="8"/>
      <c r="E17" s="8"/>
      <c r="F17" s="8"/>
    </row>
  </sheetData>
  <sheetProtection algorithmName="SHA-512" hashValue="qbb1JRJn6lewlDPeWLH1z44f731RvybMuv6Ny9IqPdV4kv2OivYOEMcnyaLxeUMv3e4+9wP4YPP2aJPkgrHENQ==" saltValue="pesZQAWe+qTIDDAylQXXeg==" spinCount="100000" sheet="1" objects="1" scenarios="1" selectLockedCells="1"/>
  <mergeCells count="2">
    <mergeCell ref="A1:F1"/>
    <mergeCell ref="A4:F4"/>
  </mergeCells>
  <hyperlinks>
    <hyperlink ref="A12" location="Анкета!A1" display="Анкета (Форма для заполнения)" xr:uid="{CA1DEDE0-3C68-4A21-8914-6F0E385FC240}"/>
    <hyperlink ref="A13" location="База!A1" display="База данных (Все заявки)" xr:uid="{E5E294C8-3AA6-4061-AF80-B97F374E9689}"/>
    <hyperlink ref="A14" location="Анализ!A1" display="Анализ (Сводные отчеты)" xr:uid="{99347D14-1A1D-4795-900D-6A236F9895F0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61C564-99F9-4700-9949-A7F47066C5E7}">
  <sheetPr codeName="Лист2"/>
  <dimension ref="A1:G15"/>
  <sheetViews>
    <sheetView workbookViewId="0">
      <selection activeCell="C11" sqref="C11:F11"/>
    </sheetView>
  </sheetViews>
  <sheetFormatPr defaultColWidth="0" defaultRowHeight="15" zeroHeight="1" x14ac:dyDescent="0.25"/>
  <cols>
    <col min="1" max="1" width="38.42578125" customWidth="1"/>
    <col min="2" max="7" width="9.140625" customWidth="1"/>
    <col min="8" max="16384" width="9.140625" hidden="1"/>
  </cols>
  <sheetData>
    <row r="1" spans="1:6" ht="20.25" x14ac:dyDescent="0.3">
      <c r="A1" s="26" t="s">
        <v>28</v>
      </c>
      <c r="B1" s="26"/>
      <c r="C1" s="26"/>
      <c r="D1" s="26"/>
      <c r="E1" s="26"/>
      <c r="F1" s="26"/>
    </row>
    <row r="2" spans="1:6" x14ac:dyDescent="0.25"/>
    <row r="3" spans="1:6" ht="18.75" x14ac:dyDescent="0.3">
      <c r="A3" s="15" t="s">
        <v>29</v>
      </c>
      <c r="C3" s="27"/>
      <c r="D3" s="28"/>
      <c r="E3" s="14"/>
      <c r="F3" s="14"/>
    </row>
    <row r="4" spans="1:6" ht="18.75" x14ac:dyDescent="0.3">
      <c r="A4" s="15" t="s">
        <v>30</v>
      </c>
      <c r="C4" s="28"/>
      <c r="D4" s="28"/>
      <c r="E4" s="14"/>
      <c r="F4" s="14"/>
    </row>
    <row r="5" spans="1:6" ht="18.75" x14ac:dyDescent="0.3">
      <c r="A5" s="15" t="s">
        <v>39</v>
      </c>
      <c r="C5" s="23"/>
      <c r="D5" s="23"/>
      <c r="E5" s="14"/>
      <c r="F5" s="14"/>
    </row>
    <row r="6" spans="1:6" ht="18.75" x14ac:dyDescent="0.3">
      <c r="A6" s="15" t="s">
        <v>31</v>
      </c>
      <c r="C6" s="23"/>
      <c r="D6" s="23"/>
      <c r="E6" s="14"/>
      <c r="F6" s="14"/>
    </row>
    <row r="7" spans="1:6" ht="18.75" x14ac:dyDescent="0.3">
      <c r="A7" s="15" t="s">
        <v>32</v>
      </c>
      <c r="C7" s="23"/>
      <c r="D7" s="23"/>
      <c r="E7" s="14"/>
      <c r="F7" s="14"/>
    </row>
    <row r="8" spans="1:6" ht="18.75" x14ac:dyDescent="0.3">
      <c r="A8" s="15" t="s">
        <v>33</v>
      </c>
      <c r="C8" s="23"/>
      <c r="D8" s="23"/>
      <c r="E8" s="14"/>
      <c r="F8" s="14"/>
    </row>
    <row r="9" spans="1:6" ht="18.75" x14ac:dyDescent="0.3">
      <c r="A9" s="15" t="s">
        <v>40</v>
      </c>
      <c r="C9" s="24"/>
      <c r="D9" s="23"/>
      <c r="E9" s="14"/>
      <c r="F9" s="14"/>
    </row>
    <row r="10" spans="1:6" ht="18.75" x14ac:dyDescent="0.3">
      <c r="A10" s="15" t="s">
        <v>34</v>
      </c>
      <c r="C10" s="25" t="s">
        <v>11</v>
      </c>
      <c r="D10" s="25"/>
      <c r="E10" s="14"/>
      <c r="F10" s="14"/>
    </row>
    <row r="11" spans="1:6" ht="18.75" x14ac:dyDescent="0.3">
      <c r="A11" s="15" t="s">
        <v>41</v>
      </c>
      <c r="C11" s="23"/>
      <c r="D11" s="23"/>
      <c r="E11" s="23"/>
      <c r="F11" s="23"/>
    </row>
    <row r="12" spans="1:6" ht="18.75" x14ac:dyDescent="0.3">
      <c r="A12" s="12"/>
    </row>
    <row r="13" spans="1:6" ht="18.75" x14ac:dyDescent="0.3">
      <c r="A13" s="13" t="s">
        <v>35</v>
      </c>
    </row>
    <row r="14" spans="1:6" x14ac:dyDescent="0.25"/>
    <row r="15" spans="1:6" x14ac:dyDescent="0.25"/>
  </sheetData>
  <sheetProtection algorithmName="SHA-512" hashValue="7Lo4zeirunhy7uzjHL+porrnRyaOSOZC0K3UVLD4T14RHoMExzA3PGezPhIcZXEG/5L53RPA1rohGSMzQvYG5w==" saltValue="BcQwpE9eFTJRHSTwbhyoqA==" spinCount="100000" sheet="1" objects="1" scenarios="1" formatCells="0" selectLockedCells="1" autoFilter="0"/>
  <mergeCells count="10">
    <mergeCell ref="C8:D8"/>
    <mergeCell ref="C9:D9"/>
    <mergeCell ref="C10:D10"/>
    <mergeCell ref="C11:F11"/>
    <mergeCell ref="A1:F1"/>
    <mergeCell ref="C3:D3"/>
    <mergeCell ref="C4:D4"/>
    <mergeCell ref="C5:D5"/>
    <mergeCell ref="C6:D6"/>
    <mergeCell ref="C7:D7"/>
  </mergeCells>
  <dataValidations count="2">
    <dataValidation type="whole" operator="greaterThanOrEqual" allowBlank="1" showInputMessage="1" showErrorMessage="1" sqref="C8:D8" xr:uid="{3A2BA3EB-C5DB-4CE0-A568-05C7318B2F0F}">
      <formula1>0</formula1>
    </dataValidation>
    <dataValidation type="date" operator="greaterThanOrEqual" allowBlank="1" showInputMessage="1" showErrorMessage="1" sqref="C9:D9" xr:uid="{ED17C42D-7892-4E3B-A100-9999D402AF57}">
      <formula1>TODAY()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ВнестиВБазу">
                <anchor moveWithCells="1" sizeWithCells="1">
                  <from>
                    <xdr:col>2</xdr:col>
                    <xdr:colOff>0</xdr:colOff>
                    <xdr:row>12</xdr:row>
                    <xdr:rowOff>9525</xdr:rowOff>
                  </from>
                  <to>
                    <xdr:col>4</xdr:col>
                    <xdr:colOff>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ОчиститьФорму">
                <anchor moveWithCells="1" sizeWithCells="1">
                  <from>
                    <xdr:col>4</xdr:col>
                    <xdr:colOff>9525</xdr:colOff>
                    <xdr:row>11</xdr:row>
                    <xdr:rowOff>228600</xdr:rowOff>
                  </from>
                  <to>
                    <xdr:col>6</xdr:col>
                    <xdr:colOff>19050</xdr:colOff>
                    <xdr:row>13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D2978719-1A90-424A-A3C0-28A5B4A49EFC}">
          <x14:formula1>
            <xm:f>Справочники!$A$2:$A$6</xm:f>
          </x14:formula1>
          <xm:sqref>C5:D5</xm:sqref>
        </x14:dataValidation>
        <x14:dataValidation type="list" allowBlank="1" showInputMessage="1" showErrorMessage="1" xr:uid="{7CBB15CD-2328-4787-AA3E-967D7B8DA5DD}">
          <x14:formula1>
            <xm:f>Справочники!$B$2:$B$6</xm:f>
          </x14:formula1>
          <xm:sqref>C7:D7</xm:sqref>
        </x14:dataValidation>
        <x14:dataValidation type="list" allowBlank="1" showInputMessage="1" showErrorMessage="1" xr:uid="{287E8E12-2998-45AF-98CD-52C8D2A80C79}">
          <x14:formula1>
            <xm:f>Справочники!$D$2:$D$6</xm:f>
          </x14:formula1>
          <xm:sqref>C10:D10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FB2CE0-AAEC-4AB8-BC4E-10E499421933}">
  <sheetPr codeName="Лист3"/>
  <dimension ref="A1:J7"/>
  <sheetViews>
    <sheetView workbookViewId="0">
      <selection activeCell="H11" sqref="H11"/>
    </sheetView>
  </sheetViews>
  <sheetFormatPr defaultRowHeight="15" x14ac:dyDescent="0.25"/>
  <cols>
    <col min="2" max="2" width="19.85546875" customWidth="1"/>
    <col min="3" max="3" width="21" customWidth="1"/>
    <col min="4" max="4" width="24" customWidth="1"/>
    <col min="5" max="5" width="33.140625" customWidth="1"/>
    <col min="6" max="6" width="39.140625" customWidth="1"/>
    <col min="7" max="7" width="24.85546875" customWidth="1"/>
    <col min="8" max="8" width="24.42578125" customWidth="1"/>
    <col min="9" max="9" width="19.140625" customWidth="1"/>
    <col min="10" max="10" width="36.28515625" bestFit="1" customWidth="1"/>
  </cols>
  <sheetData>
    <row r="1" spans="1:10" ht="17.25" x14ac:dyDescent="0.3">
      <c r="A1" s="3" t="s">
        <v>22</v>
      </c>
      <c r="B1" s="3" t="s">
        <v>23</v>
      </c>
      <c r="C1" s="3" t="s">
        <v>0</v>
      </c>
      <c r="D1" s="3" t="s">
        <v>24</v>
      </c>
      <c r="E1" s="3" t="s">
        <v>1</v>
      </c>
      <c r="F1" s="3" t="s">
        <v>25</v>
      </c>
      <c r="G1" s="3" t="s">
        <v>16</v>
      </c>
      <c r="H1" s="3" t="s">
        <v>26</v>
      </c>
      <c r="I1" s="3" t="s">
        <v>10</v>
      </c>
      <c r="J1" s="3" t="s">
        <v>27</v>
      </c>
    </row>
    <row r="2" spans="1:10" ht="17.25" x14ac:dyDescent="0.3">
      <c r="A2" s="3">
        <v>1</v>
      </c>
      <c r="B2" s="7">
        <v>45996</v>
      </c>
      <c r="C2" s="3" t="s">
        <v>3</v>
      </c>
      <c r="D2" s="3" t="s">
        <v>36</v>
      </c>
      <c r="E2" s="3" t="s">
        <v>8</v>
      </c>
      <c r="F2" s="3">
        <v>100000</v>
      </c>
      <c r="G2" s="3" t="str">
        <f>IF(F2="", "", IF(F2&lt;=50000, "До 50 тыс. руб.", IF(F2&lt;=200000, "50-200 тыс. руб.", IF(F2&lt;=500000, "200-500 тыс. руб.", "Свыше 500 тыс. руб."))))</f>
        <v>50-200 тыс. руб.</v>
      </c>
      <c r="H2" s="7">
        <v>45997</v>
      </c>
      <c r="I2" s="3"/>
      <c r="J2" s="3"/>
    </row>
    <row r="3" spans="1:10" ht="17.25" x14ac:dyDescent="0.3">
      <c r="A3" s="3">
        <v>2</v>
      </c>
      <c r="B3" s="7">
        <v>45997</v>
      </c>
      <c r="C3" s="3" t="s">
        <v>2</v>
      </c>
      <c r="D3" s="3" t="s">
        <v>37</v>
      </c>
      <c r="E3" s="3" t="s">
        <v>9</v>
      </c>
      <c r="F3" s="3">
        <v>450000</v>
      </c>
      <c r="G3" s="3" t="str">
        <f>IF(F3="", "", IF(F3&lt;=50000, "До 50 тыс. руб.", IF(F3&lt;=200000, "50-200 тыс. руб.", IF(F3&lt;=500000, "200-500 тыс. руб.", "Свыше 500 тыс. руб."))))</f>
        <v>200-500 тыс. руб.</v>
      </c>
      <c r="H3" s="7">
        <v>46009</v>
      </c>
      <c r="I3" s="3" t="s">
        <v>11</v>
      </c>
      <c r="J3" s="3" t="s">
        <v>57</v>
      </c>
    </row>
    <row r="4" spans="1:10" ht="17.25" x14ac:dyDescent="0.3">
      <c r="A4" s="3">
        <v>3</v>
      </c>
      <c r="B4" s="7">
        <v>45997</v>
      </c>
      <c r="C4" s="3" t="s">
        <v>5</v>
      </c>
      <c r="D4" s="3" t="s">
        <v>58</v>
      </c>
      <c r="E4" s="3" t="s">
        <v>7</v>
      </c>
      <c r="F4" s="3">
        <v>160000</v>
      </c>
      <c r="G4" s="3" t="str">
        <f>IF(F4="", "", IF(F4&lt;=50000, "До 50 тыс. руб.", IF(F4&lt;=200000, "50-200 тыс. руб.", IF(F4&lt;=500000, "200-500 тыс. руб.", "Свыше 500 тыс. руб."))))</f>
        <v>50-200 тыс. руб.</v>
      </c>
      <c r="H4" s="7">
        <v>45999</v>
      </c>
      <c r="I4" s="3" t="s">
        <v>11</v>
      </c>
      <c r="J4" s="3" t="s">
        <v>59</v>
      </c>
    </row>
    <row r="5" spans="1:10" ht="17.25" x14ac:dyDescent="0.3">
      <c r="A5" s="3">
        <v>4</v>
      </c>
      <c r="B5" s="7">
        <v>45997</v>
      </c>
      <c r="C5" s="3" t="s">
        <v>4</v>
      </c>
      <c r="D5" s="3" t="s">
        <v>60</v>
      </c>
      <c r="E5" s="3" t="s">
        <v>9</v>
      </c>
      <c r="F5" s="3">
        <v>50000</v>
      </c>
      <c r="G5" s="3" t="str">
        <f>IF(F5="", "", IF(F5&lt;=50000, "До 50 тыс. руб.", IF(F5&lt;=200000, "50-200 тыс. руб.", IF(F5&lt;=500000, "200-500 тыс. руб.", "Свыше 500 тыс. руб."))))</f>
        <v>До 50 тыс. руб.</v>
      </c>
      <c r="H5" s="7">
        <v>46001</v>
      </c>
      <c r="I5" s="3" t="s">
        <v>11</v>
      </c>
      <c r="J5" s="3" t="s">
        <v>61</v>
      </c>
    </row>
    <row r="6" spans="1:10" ht="17.25" x14ac:dyDescent="0.3">
      <c r="A6" s="3">
        <v>5</v>
      </c>
      <c r="B6" s="7">
        <v>45997</v>
      </c>
      <c r="C6" s="3" t="s">
        <v>5</v>
      </c>
      <c r="D6" s="3" t="s">
        <v>62</v>
      </c>
      <c r="E6" s="3" t="s">
        <v>9</v>
      </c>
      <c r="F6" s="3">
        <v>80000</v>
      </c>
      <c r="G6" s="3" t="str">
        <f>IF(F6="", "", IF(F6&lt;=50000, "До 50 тыс. руб.", IF(F6&lt;=200000, "50-200 тыс. руб.", IF(F6&lt;=500000, "200-500 тыс. руб.", "Свыше 500 тыс. руб."))))</f>
        <v>50-200 тыс. руб.</v>
      </c>
      <c r="H6" s="7">
        <v>46007</v>
      </c>
      <c r="I6" s="3" t="s">
        <v>11</v>
      </c>
      <c r="J6" s="3" t="s">
        <v>63</v>
      </c>
    </row>
    <row r="7" spans="1:10" ht="17.25" x14ac:dyDescent="0.3">
      <c r="A7" s="1"/>
      <c r="C7" s="2"/>
      <c r="D7" s="2"/>
      <c r="E7" s="2"/>
      <c r="F7" s="2"/>
      <c r="H7" s="2"/>
      <c r="I7" s="2"/>
      <c r="J7" s="1"/>
    </row>
  </sheetData>
  <sheetProtection algorithmName="SHA-512" hashValue="YBCn049rtN3yNMsOit5ng/Fm6WW/+UtBqgvH+h2JNBiXF+GNIFPLxVlaVVeO2sBQROcRy/E2uTsgygA9fizfLw==" saltValue="TStuOUPKgoFM72fSJCk3yA==" spinCount="100000" sheet="1" objects="1" scenarios="1" selectLockedCells="1" autoFilter="0" selectUnlockedCells="1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00D794-1DC0-4A52-844E-4FEC1C43DD04}">
  <sheetPr codeName="Лист4"/>
  <dimension ref="A1:N5"/>
  <sheetViews>
    <sheetView tabSelected="1" zoomScale="70" zoomScaleNormal="70" workbookViewId="0">
      <selection activeCell="E28" sqref="E28"/>
    </sheetView>
  </sheetViews>
  <sheetFormatPr defaultColWidth="0" defaultRowHeight="15" x14ac:dyDescent="0.25"/>
  <cols>
    <col min="1" max="1" width="26.42578125" bestFit="1" customWidth="1"/>
    <col min="2" max="2" width="26" bestFit="1" customWidth="1"/>
    <col min="3" max="3" width="22" bestFit="1" customWidth="1"/>
    <col min="4" max="14" width="9.140625" customWidth="1"/>
    <col min="15" max="16384" width="9.140625" hidden="1"/>
  </cols>
  <sheetData>
    <row r="1" spans="1:3" ht="15.75" x14ac:dyDescent="0.25">
      <c r="A1" s="18" t="s">
        <v>54</v>
      </c>
      <c r="B1" s="19" t="s">
        <v>55</v>
      </c>
      <c r="C1" s="19" t="s">
        <v>56</v>
      </c>
    </row>
    <row r="2" spans="1:3" ht="15.75" x14ac:dyDescent="0.25">
      <c r="A2" s="20" t="s">
        <v>19</v>
      </c>
      <c r="B2" s="29">
        <v>450000</v>
      </c>
      <c r="C2" s="29">
        <v>1</v>
      </c>
    </row>
    <row r="3" spans="1:3" ht="15.75" x14ac:dyDescent="0.25">
      <c r="A3" s="20" t="s">
        <v>18</v>
      </c>
      <c r="B3" s="29">
        <v>240000</v>
      </c>
      <c r="C3" s="29">
        <v>2</v>
      </c>
    </row>
    <row r="4" spans="1:3" ht="15.75" x14ac:dyDescent="0.25">
      <c r="A4" s="20" t="s">
        <v>17</v>
      </c>
      <c r="B4" s="29">
        <v>50000</v>
      </c>
      <c r="C4" s="29">
        <v>1</v>
      </c>
    </row>
    <row r="5" spans="1:3" ht="15.75" x14ac:dyDescent="0.25">
      <c r="A5" s="20" t="s">
        <v>38</v>
      </c>
      <c r="B5" s="29">
        <v>740000</v>
      </c>
      <c r="C5" s="29">
        <v>4</v>
      </c>
    </row>
  </sheetData>
  <sheetProtection algorithmName="SHA-512" hashValue="aCePlPZWiIljs/p6V9PzbniTZFmqY9ObFhqO+KclLxGhOIanLeit28gZeNQH57+I3hmpaVCeUt5NFB0oY69hdw==" saltValue="dygyy3gljE4vSRO2KnQlVA==" spinCount="100000" sheet="1" scenarios="1" pivotTables="0"/>
  <pageMargins left="0.7" right="0.7" top="0.75" bottom="0.75" header="0.3" footer="0.3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534D56-7BE2-439C-A392-F16F002462AB}">
  <sheetPr codeName="Лист5"/>
  <dimension ref="A1:I7"/>
  <sheetViews>
    <sheetView workbookViewId="0">
      <selection sqref="A1:XFD1048576"/>
    </sheetView>
  </sheetViews>
  <sheetFormatPr defaultColWidth="0" defaultRowHeight="15" zeroHeight="1" x14ac:dyDescent="0.25"/>
  <cols>
    <col min="1" max="1" width="21" customWidth="1"/>
    <col min="2" max="2" width="33.140625" customWidth="1"/>
    <col min="3" max="3" width="9.140625" customWidth="1"/>
    <col min="4" max="4" width="19.140625" customWidth="1"/>
    <col min="5" max="5" width="9.140625" customWidth="1"/>
    <col min="6" max="6" width="24.85546875" customWidth="1"/>
    <col min="7" max="7" width="9.140625" customWidth="1"/>
    <col min="8" max="8" width="10.85546875" bestFit="1" customWidth="1"/>
    <col min="9" max="9" width="9.140625" customWidth="1"/>
    <col min="10" max="16384" width="9.140625" hidden="1"/>
  </cols>
  <sheetData>
    <row r="1" spans="1:8" ht="17.25" x14ac:dyDescent="0.3">
      <c r="A1" s="2" t="s">
        <v>0</v>
      </c>
      <c r="B1" s="1" t="s">
        <v>1</v>
      </c>
      <c r="D1" s="1" t="s">
        <v>10</v>
      </c>
      <c r="F1" s="1" t="s">
        <v>16</v>
      </c>
      <c r="H1" s="1" t="s">
        <v>21</v>
      </c>
    </row>
    <row r="2" spans="1:8" ht="17.25" x14ac:dyDescent="0.3">
      <c r="A2" s="3" t="s">
        <v>2</v>
      </c>
      <c r="B2" s="4" t="s">
        <v>7</v>
      </c>
      <c r="D2" s="5" t="s">
        <v>11</v>
      </c>
      <c r="F2" s="4" t="s">
        <v>17</v>
      </c>
      <c r="H2" s="6">
        <f>MAX(База!A:A)+1</f>
        <v>6</v>
      </c>
    </row>
    <row r="3" spans="1:8" ht="17.25" x14ac:dyDescent="0.3">
      <c r="A3" s="3" t="s">
        <v>3</v>
      </c>
      <c r="B3" s="4" t="s">
        <v>8</v>
      </c>
      <c r="D3" s="5" t="s">
        <v>12</v>
      </c>
      <c r="F3" s="4" t="s">
        <v>18</v>
      </c>
    </row>
    <row r="4" spans="1:8" ht="17.25" x14ac:dyDescent="0.25">
      <c r="A4" s="5" t="s">
        <v>4</v>
      </c>
      <c r="B4" s="4" t="s">
        <v>9</v>
      </c>
      <c r="D4" s="5" t="s">
        <v>13</v>
      </c>
      <c r="F4" s="4" t="s">
        <v>19</v>
      </c>
    </row>
    <row r="5" spans="1:8" ht="17.25" x14ac:dyDescent="0.25">
      <c r="A5" s="5" t="s">
        <v>5</v>
      </c>
      <c r="B5" s="4" t="s">
        <v>8</v>
      </c>
      <c r="D5" s="5" t="s">
        <v>14</v>
      </c>
      <c r="F5" s="4" t="s">
        <v>20</v>
      </c>
    </row>
    <row r="6" spans="1:8" ht="17.25" x14ac:dyDescent="0.25">
      <c r="A6" s="5" t="s">
        <v>6</v>
      </c>
      <c r="B6" s="4" t="s">
        <v>7</v>
      </c>
      <c r="D6" s="5" t="s">
        <v>15</v>
      </c>
    </row>
    <row r="7" spans="1:8" x14ac:dyDescent="0.25"/>
  </sheetData>
  <sheetProtection algorithmName="SHA-512" hashValue="afg8kTjS0RZ+nmHBHi+4kVfTNn1k0pMCVlU5eTu3X3JJfXAupqVQcVuoOH5KixattmbV4WhPTosHLCgaXVnoOg==" saltValue="Az4PC/DkI7qbwhC3sJktIA==" spinCount="100000" sheet="1" objects="1" scenarios="1" selectLockedCells="1" selectUnlockedCells="1"/>
  <pageMargins left="0.7" right="0.7" top="0.75" bottom="0.75" header="0.3" footer="0.3"/>
  <tableParts count="3">
    <tablePart r:id="rId1"/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5</vt:i4>
      </vt:variant>
      <vt:variant>
        <vt:lpstr>Именованные диапазоны</vt:lpstr>
      </vt:variant>
      <vt:variant>
        <vt:i4>1</vt:i4>
      </vt:variant>
    </vt:vector>
  </HeadingPairs>
  <TitlesOfParts>
    <vt:vector size="6" baseType="lpstr">
      <vt:lpstr>Титул</vt:lpstr>
      <vt:lpstr>Анкета</vt:lpstr>
      <vt:lpstr>База</vt:lpstr>
      <vt:lpstr>Анализ</vt:lpstr>
      <vt:lpstr>Справочники</vt:lpstr>
      <vt:lpstr>nextID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Мурлыкина</dc:creator>
  <cp:lastModifiedBy>Мария Мурлыка</cp:lastModifiedBy>
  <dcterms:created xsi:type="dcterms:W3CDTF">2015-06-05T18:19:34Z</dcterms:created>
  <dcterms:modified xsi:type="dcterms:W3CDTF">2025-12-05T23:49:49Z</dcterms:modified>
</cp:coreProperties>
</file>