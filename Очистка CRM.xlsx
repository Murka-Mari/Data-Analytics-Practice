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Мурлыкина\OneDrive\Desktop\Кейсы\кейс 2\"/>
    </mc:Choice>
  </mc:AlternateContent>
  <xr:revisionPtr revIDLastSave="0" documentId="13_ncr:1_{B0F00E29-0DD3-47CC-BC43-1FB4B8209478}" xr6:coauthVersionLast="47" xr6:coauthVersionMax="47" xr10:uidLastSave="{00000000-0000-0000-0000-000000000000}"/>
  <bookViews>
    <workbookView xWindow="5055" yWindow="3675" windowWidth="16110" windowHeight="16230" activeTab="2" xr2:uid="{00000000-000D-0000-FFFF-FFFF00000000}"/>
  </bookViews>
  <sheets>
    <sheet name="Исходные данные" sheetId="1" r:id="rId1"/>
    <sheet name="Очищенные данные" sheetId="2" r:id="rId2"/>
    <sheet name="Результаты проекта" sheetId="3" r:id="rId3"/>
  </sheets>
  <definedNames>
    <definedName name="ExternalData_1" localSheetId="1" hidden="1">'Очищенные данные'!$A$1:$H$20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3" l="1"/>
  <c r="C18" i="3"/>
  <c r="C19" i="3"/>
  <c r="C20" i="3"/>
  <c r="C16" i="3"/>
  <c r="B21" i="3"/>
  <c r="B20" i="3"/>
  <c r="B19" i="3"/>
  <c r="B18" i="3"/>
  <c r="B17" i="3"/>
  <c r="B16" i="3"/>
  <c r="D4" i="3"/>
  <c r="D7" i="3"/>
  <c r="D6" i="3"/>
  <c r="D5" i="3"/>
  <c r="C7" i="3"/>
  <c r="C6" i="3"/>
  <c r="C5" i="3"/>
  <c r="C4" i="3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31BD87-76A1-4FD3-9728-31E1161274E3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</connections>
</file>

<file path=xl/sharedStrings.xml><?xml version="1.0" encoding="utf-8"?>
<sst xmlns="http://schemas.openxmlformats.org/spreadsheetml/2006/main" count="212" uniqueCount="146">
  <si>
    <t>ID</t>
  </si>
  <si>
    <t>ФИО</t>
  </si>
  <si>
    <t>Email</t>
  </si>
  <si>
    <t>Город</t>
  </si>
  <si>
    <t>иванов иван иванович</t>
  </si>
  <si>
    <t>ivanov@mail.ru</t>
  </si>
  <si>
    <t>Москва</t>
  </si>
  <si>
    <t>Петрова Анна</t>
  </si>
  <si>
    <t>anna.petrova@gmail</t>
  </si>
  <si>
    <t>Мск</t>
  </si>
  <si>
    <t>сидоров сергей</t>
  </si>
  <si>
    <t>sidorov@yandex.ru</t>
  </si>
  <si>
    <t>Санкт-Петербург</t>
  </si>
  <si>
    <t>kuznetsov@mail.com</t>
  </si>
  <si>
    <t>СПб</t>
  </si>
  <si>
    <t>22 марта 2024</t>
  </si>
  <si>
    <t>КОЗЛОВА ЕЛЕНА ВИКТОРОВНА</t>
  </si>
  <si>
    <t>elena.koz@gmail.com</t>
  </si>
  <si>
    <t>Казань</t>
  </si>
  <si>
    <t>Новиков Д.А.</t>
  </si>
  <si>
    <t>novikov@mail</t>
  </si>
  <si>
    <t>Морозова Мария</t>
  </si>
  <si>
    <t>morozova@yandex</t>
  </si>
  <si>
    <t>мОсква</t>
  </si>
  <si>
    <t>Новосибирск</t>
  </si>
  <si>
    <t>Лебедев Алексей Сергеевич</t>
  </si>
  <si>
    <t>lebedev@mail.ru</t>
  </si>
  <si>
    <t>Соколова Ольга</t>
  </si>
  <si>
    <t>olga.sokolova@gmail.com</t>
  </si>
  <si>
    <t>павлов п.в.</t>
  </si>
  <si>
    <t>pavlov@mail.com</t>
  </si>
  <si>
    <t>федорова екатерина</t>
  </si>
  <si>
    <t>ekaterina@yandex</t>
  </si>
  <si>
    <t>Николаев Игорь</t>
  </si>
  <si>
    <t>nikolaev@gmail</t>
  </si>
  <si>
    <t>орлова а.с.</t>
  </si>
  <si>
    <t>orlova@mail.ru</t>
  </si>
  <si>
    <t>25 апреля 2024</t>
  </si>
  <si>
    <t>Борисов Виктор</t>
  </si>
  <si>
    <t>borisov@yandex.ru</t>
  </si>
  <si>
    <t>Дмитриев Дмитрий</t>
  </si>
  <si>
    <t>dmitriev@mail.com</t>
  </si>
  <si>
    <t>Захарова Наталья</t>
  </si>
  <si>
    <t>zakharova@gmail</t>
  </si>
  <si>
    <t>Семенов Семен</t>
  </si>
  <si>
    <t>semenov@yandex.ru</t>
  </si>
  <si>
    <t>08 мая 2024</t>
  </si>
  <si>
    <t>Сумма покупки</t>
  </si>
  <si>
    <t>Дата регистрации</t>
  </si>
  <si>
    <t>ФИО_исправленное</t>
  </si>
  <si>
    <t>Имя</t>
  </si>
  <si>
    <t>Отчество</t>
  </si>
  <si>
    <t>Иванов</t>
  </si>
  <si>
    <t>Иван</t>
  </si>
  <si>
    <t>Иванович</t>
  </si>
  <si>
    <t>Петрова</t>
  </si>
  <si>
    <t>Анна</t>
  </si>
  <si>
    <t/>
  </si>
  <si>
    <t>anna.petrova@gmail.com</t>
  </si>
  <si>
    <t>Сидоров</t>
  </si>
  <si>
    <t>Сергей</t>
  </si>
  <si>
    <t>Kuznetsov</t>
  </si>
  <si>
    <t>kuznetsov@mail.ru</t>
  </si>
  <si>
    <t>Козлова</t>
  </si>
  <si>
    <t>Елена</t>
  </si>
  <si>
    <t>Викторовна</t>
  </si>
  <si>
    <t>Новиков</t>
  </si>
  <si>
    <t>Д</t>
  </si>
  <si>
    <t>А</t>
  </si>
  <si>
    <t>novikov@mail.ru</t>
  </si>
  <si>
    <t>Морозова</t>
  </si>
  <si>
    <t>Мария</t>
  </si>
  <si>
    <t>morozova@yandex.ru</t>
  </si>
  <si>
    <t>Лебедев</t>
  </si>
  <si>
    <t>Алексей</t>
  </si>
  <si>
    <t>Сергеевич</t>
  </si>
  <si>
    <t>Соколова</t>
  </si>
  <si>
    <t>Ольга</t>
  </si>
  <si>
    <t>Павлов</t>
  </si>
  <si>
    <t>П</t>
  </si>
  <si>
    <t>В</t>
  </si>
  <si>
    <t>pavlov@mail.ru</t>
  </si>
  <si>
    <t>Федорова</t>
  </si>
  <si>
    <t>Екатерина</t>
  </si>
  <si>
    <t>ekaterina@yandex.ru</t>
  </si>
  <si>
    <t>Николаев</t>
  </si>
  <si>
    <t>Игорь</t>
  </si>
  <si>
    <t>nikolaev@gmail.com</t>
  </si>
  <si>
    <t>Орлова</t>
  </si>
  <si>
    <t>С</t>
  </si>
  <si>
    <t>Борисов</t>
  </si>
  <si>
    <t>Виктор</t>
  </si>
  <si>
    <t>Дмитриев</t>
  </si>
  <si>
    <t>Дмитрий</t>
  </si>
  <si>
    <t>dmitriev@mail.ru</t>
  </si>
  <si>
    <t>Захарова</t>
  </si>
  <si>
    <t>Наталья</t>
  </si>
  <si>
    <t>zakharova@gmail.com</t>
  </si>
  <si>
    <t>Семенов</t>
  </si>
  <si>
    <t>Семен</t>
  </si>
  <si>
    <t>Статус записи</t>
  </si>
  <si>
    <t>Проблемы</t>
  </si>
  <si>
    <t>Всего обработано записей:</t>
  </si>
  <si>
    <t>Качественные:</t>
  </si>
  <si>
    <t>Проблемные:</t>
  </si>
  <si>
    <t>Пустые:</t>
  </si>
  <si>
    <t>Детализация проблем для каждой записи</t>
  </si>
  <si>
    <t>Визуальная цветовая индикация статусов</t>
  </si>
  <si>
    <t>Отсутствие отчества</t>
  </si>
  <si>
    <t>Неполные email</t>
  </si>
  <si>
    <t>Отсутствие города</t>
  </si>
  <si>
    <t>Отсутствие даты</t>
  </si>
  <si>
    <t>Отсутствие суммы</t>
  </si>
  <si>
    <t>Всего проблемных пометок:</t>
  </si>
  <si>
    <t>Приоритизация клиентов по статусу готовности</t>
  </si>
  <si>
    <t>4.2. Для отдела маркетинга:</t>
  </si>
  <si>
    <t>Готово к использованию:</t>
  </si>
  <si>
    <t>Требуют доработки:</t>
  </si>
  <si>
    <t>Пустые строки:</t>
  </si>
  <si>
    <t>РАЗДЕЛ 1: Количественные результаты</t>
  </si>
  <si>
    <t> РАЗДЕЛ 2: Качественные результаты</t>
  </si>
  <si>
    <t>Автоматическая классификация всех записей</t>
  </si>
  <si>
    <t>Сохранение полной истории данных</t>
  </si>
  <si>
    <t>РАЗДЕЛ 3: Статистика выявленных проблем</t>
  </si>
  <si>
    <t>РАЗДЕЛ 4: Бизнес-ценность проекта</t>
  </si>
  <si>
    <t>4.1. Для отдела продаж:</t>
  </si>
  <si>
    <t>Экономия времени на проверку данных</t>
  </si>
  <si>
    <t>Увеличение конверсии</t>
  </si>
  <si>
    <t>Точная сегментация по городам и суммам</t>
  </si>
  <si>
    <t>Персонализированные email-кампании</t>
  </si>
  <si>
    <t>Измеримая эффективность кампаний</t>
  </si>
  <si>
    <t xml:space="preserve"> 4.3. Для руководства:</t>
  </si>
  <si>
    <t>Объективная картина состояния базы</t>
  </si>
  <si>
    <t>Данные для стратегических решений</t>
  </si>
  <si>
    <t>Снижение рисков</t>
  </si>
  <si>
    <t>РАЗДЕЛ 5: Рекомендации</t>
  </si>
  <si>
    <t xml:space="preserve"> Краткосрочные (1-3 мес.):</t>
  </si>
  <si>
    <t>Интеграция в процесс ввода данных</t>
  </si>
  <si>
    <t>Обучение сотрудников</t>
  </si>
  <si>
    <t>Среднесрочные (3-6 мес.):</t>
  </si>
  <si>
    <t xml:space="preserve"> Автоматизация исправления ошибок</t>
  </si>
  <si>
    <t>Дашборд мониторинга качества</t>
  </si>
  <si>
    <t>Долгосрочные (6-12 мес.):</t>
  </si>
  <si>
    <t>Интеграция с CRM-системой</t>
  </si>
  <si>
    <t>Предиктивная аналитика</t>
  </si>
  <si>
    <t>Отчет по проекту: система контроля качестваданных 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</si>
</sst>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1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theme="1"/>
      <name val="Times New Roman"/>
      <family val="1"/>
      <charset val="204"/>
    </font>
    <font>
      <sz val="10"/>
      <color rgb="FF0F1115"/>
      <name val="Consolas"/>
      <family val="3"/>
      <charset val="204"/>
    </font>
    <font>
      <sz val="14"/>
      <color rgb="FF0F1115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rgb="FF0F1115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0F1115"/>
      <name val="Times New Roman"/>
      <family val="1"/>
      <charset val="204"/>
    </font>
    <font>
      <sz val="12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9" fontId="8" fillId="0" borderId="0" applyFont="0" applyFill="0" applyBorder="0" applyAlignment="0" applyProtection="0"/>
  </cellStyleXfs>
  <cellXfs count="44">
    <xf numFmtId="0" fontId="0" fillId="0" borderId="0" xfId="0"/>
    <xf numFmtId="0" fontId="3" fillId="2" borderId="2" xfId="0" applyFont="1" applyFill="1" applyBorder="1" applyAlignment="1">
      <alignment horizontal="left" vertical="center" wrapText="1" indent="1"/>
    </xf>
    <xf numFmtId="15" fontId="3" fillId="2" borderId="2" xfId="0" applyNumberFormat="1" applyFont="1" applyFill="1" applyBorder="1" applyAlignment="1">
      <alignment horizontal="left" vertical="center" wrapText="1" indent="1"/>
    </xf>
    <xf numFmtId="14" fontId="3" fillId="2" borderId="2" xfId="0" applyNumberFormat="1" applyFont="1" applyFill="1" applyBorder="1" applyAlignment="1">
      <alignment horizontal="left" vertical="center" wrapText="1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 indent="1"/>
    </xf>
    <xf numFmtId="0" fontId="2" fillId="2" borderId="6" xfId="0" applyFont="1" applyFill="1" applyBorder="1" applyAlignment="1">
      <alignment horizontal="left" vertical="center" wrapText="1" indent="1"/>
    </xf>
    <xf numFmtId="0" fontId="2" fillId="2" borderId="7" xfId="0" applyFont="1" applyFill="1" applyBorder="1" applyAlignment="1">
      <alignment horizontal="left" vertical="center" wrapText="1" indent="1"/>
    </xf>
    <xf numFmtId="0" fontId="3" fillId="2" borderId="8" xfId="0" applyFont="1" applyFill="1" applyBorder="1" applyAlignment="1">
      <alignment horizontal="left" vertical="center" wrapText="1" indent="1"/>
    </xf>
    <xf numFmtId="0" fontId="3" fillId="2" borderId="9" xfId="0" applyFont="1" applyFill="1" applyBorder="1" applyAlignment="1">
      <alignment horizontal="left" vertical="center" wrapText="1" indent="1"/>
    </xf>
    <xf numFmtId="0" fontId="3" fillId="2" borderId="10" xfId="0" applyFont="1" applyFill="1" applyBorder="1" applyAlignment="1">
      <alignment horizontal="left" vertical="center" wrapText="1" indent="1"/>
    </xf>
    <xf numFmtId="0" fontId="1" fillId="0" borderId="1" xfId="1"/>
    <xf numFmtId="0" fontId="1" fillId="0" borderId="1" xfId="1" applyNumberFormat="1"/>
    <xf numFmtId="14" fontId="1" fillId="0" borderId="1" xfId="1" applyNumberFormat="1"/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" fillId="0" borderId="1" xfId="1" applyNumberFormat="1" applyFill="1"/>
    <xf numFmtId="0" fontId="1" fillId="0" borderId="1" xfId="1" applyFill="1" applyAlignment="1">
      <alignment vertical="center" wrapText="1"/>
    </xf>
    <xf numFmtId="0" fontId="1" fillId="0" borderId="1" xfId="1" applyFill="1" applyAlignment="1">
      <alignment horizontal="left" vertical="center" indent="1"/>
    </xf>
    <xf numFmtId="0" fontId="1" fillId="0" borderId="1" xfId="1" applyNumberForma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9" fillId="0" borderId="0" xfId="0" applyFont="1"/>
    <xf numFmtId="9" fontId="9" fillId="0" borderId="0" xfId="2" applyFont="1"/>
    <xf numFmtId="168" fontId="9" fillId="0" borderId="0" xfId="2" applyNumberFormat="1" applyFont="1"/>
    <xf numFmtId="0" fontId="9" fillId="4" borderId="0" xfId="0" applyFont="1" applyFill="1"/>
    <xf numFmtId="0" fontId="0" fillId="0" borderId="0" xfId="0" applyBorder="1"/>
    <xf numFmtId="0" fontId="10" fillId="0" borderId="0" xfId="0" applyFont="1" applyBorder="1"/>
    <xf numFmtId="0" fontId="9" fillId="0" borderId="0" xfId="0" applyFont="1" applyFill="1" applyBorder="1"/>
    <xf numFmtId="0" fontId="9" fillId="0" borderId="0" xfId="0" applyFont="1" applyFill="1" applyBorder="1" applyAlignment="1">
      <alignment horizontal="left" vertical="center" indent="1"/>
    </xf>
    <xf numFmtId="0" fontId="0" fillId="0" borderId="0" xfId="0" applyFill="1" applyBorder="1"/>
    <xf numFmtId="0" fontId="10" fillId="0" borderId="0" xfId="0" applyFont="1" applyFill="1" applyBorder="1"/>
    <xf numFmtId="168" fontId="9" fillId="0" borderId="0" xfId="2" applyNumberFormat="1" applyFont="1" applyFill="1" applyBorder="1"/>
    <xf numFmtId="0" fontId="11" fillId="0" borderId="0" xfId="0" applyFont="1" applyFill="1" applyBorder="1"/>
    <xf numFmtId="0" fontId="9" fillId="0" borderId="0" xfId="0" applyFont="1" applyFill="1" applyBorder="1" applyAlignment="1">
      <alignment horizontal="right"/>
    </xf>
    <xf numFmtId="0" fontId="12" fillId="0" borderId="0" xfId="0" applyFont="1" applyFill="1" applyAlignment="1">
      <alignment horizontal="left" vertical="center" indent="1"/>
    </xf>
    <xf numFmtId="0" fontId="10" fillId="4" borderId="0" xfId="0" applyFont="1" applyFill="1" applyBorder="1"/>
    <xf numFmtId="0" fontId="9" fillId="0" borderId="0" xfId="0" applyFont="1" applyFill="1" applyAlignment="1">
      <alignment horizontal="left" vertical="center" indent="1"/>
    </xf>
    <xf numFmtId="0" fontId="9" fillId="5" borderId="0" xfId="0" applyFont="1" applyFill="1" applyAlignment="1">
      <alignment horizontal="left" vertical="center" indent="1"/>
    </xf>
    <xf numFmtId="0" fontId="10" fillId="5" borderId="0" xfId="0" applyFont="1" applyFill="1" applyBorder="1"/>
    <xf numFmtId="0" fontId="11" fillId="3" borderId="0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 wrapText="1"/>
    </xf>
  </cellXfs>
  <cellStyles count="3">
    <cellStyle name="Заголовок 2" xfId="1" builtinId="17"/>
    <cellStyle name="Обычный" xfId="0" builtinId="0"/>
    <cellStyle name="Процентный" xfId="2" builtinId="5"/>
  </cellStyles>
  <dxfs count="20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Распределение записей по статусам</a:t>
            </a:r>
            <a:endParaRPr lang="ru-RU"/>
          </a:p>
        </c:rich>
      </c:tx>
      <c:layout>
        <c:manualLayout>
          <c:xMode val="edge"/>
          <c:yMode val="edge"/>
          <c:x val="0.16152077865266842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A2-43D8-BC51-F0D368F7853A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A2-43D8-BC51-F0D368F7853A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3A2-43D8-BC51-F0D368F7853A}"/>
              </c:ext>
            </c:extLst>
          </c:dPt>
          <c:dLbls>
            <c:dLbl>
              <c:idx val="0"/>
              <c:layout>
                <c:manualLayout>
                  <c:x val="-0.20259740259740261"/>
                  <c:y val="0.1333067169420723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9567099567099567"/>
                      <c:h val="0.242566510172143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3A2-43D8-BC51-F0D368F7853A}"/>
                </c:ext>
              </c:extLst>
            </c:dLbl>
            <c:dLbl>
              <c:idx val="1"/>
              <c:dLblPos val="ctr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0235511470157134"/>
                      <c:h val="0.225070668983278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3A2-43D8-BC51-F0D368F7853A}"/>
                </c:ext>
              </c:extLst>
            </c:dLbl>
            <c:dLbl>
              <c:idx val="2"/>
              <c:layout>
                <c:manualLayout>
                  <c:x val="0.29805542489007059"/>
                  <c:y val="0.7055105787832859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284294917680744"/>
                      <c:h val="0.1969790395918819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3A2-43D8-BC51-F0D368F785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'Результаты проекта'!$B$5:$B$7</c:f>
              <c:strCache>
                <c:ptCount val="3"/>
                <c:pt idx="0">
                  <c:v>Качественные:</c:v>
                </c:pt>
                <c:pt idx="1">
                  <c:v>Проблемные:</c:v>
                </c:pt>
                <c:pt idx="2">
                  <c:v>Пустые:</c:v>
                </c:pt>
              </c:strCache>
            </c:strRef>
          </c:cat>
          <c:val>
            <c:numRef>
              <c:f>'Результаты проекта'!$C$5:$C$7</c:f>
              <c:numCache>
                <c:formatCode>General</c:formatCode>
                <c:ptCount val="3"/>
                <c:pt idx="0">
                  <c:v>6</c:v>
                </c:pt>
                <c:pt idx="1">
                  <c:v>13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2-43D8-BC51-F0D368F7853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Статистика выявленных проблем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9.7136482939632549E-2"/>
          <c:y val="0.17171296296296298"/>
          <c:w val="0.7945301837270341"/>
          <c:h val="0.670031350247885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'Результаты проекта'!$A$16:$A$20</c:f>
              <c:strCache>
                <c:ptCount val="5"/>
                <c:pt idx="0">
                  <c:v>Отсутствие отчества</c:v>
                </c:pt>
                <c:pt idx="1">
                  <c:v>Неполные email</c:v>
                </c:pt>
                <c:pt idx="2">
                  <c:v>Отсутствие города</c:v>
                </c:pt>
                <c:pt idx="3">
                  <c:v>Отсутствие даты</c:v>
                </c:pt>
                <c:pt idx="4">
                  <c:v>Отсутствие суммы</c:v>
                </c:pt>
              </c:strCache>
            </c:strRef>
          </c:cat>
          <c:val>
            <c:numRef>
              <c:f>'Результаты проекта'!$B$16:$B$20</c:f>
              <c:numCache>
                <c:formatCode>General</c:formatCode>
                <c:ptCount val="5"/>
                <c:pt idx="0">
                  <c:v>13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B-4FE0-85ED-C642197356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8948336"/>
        <c:axId val="1768965136"/>
      </c:barChart>
      <c:catAx>
        <c:axId val="176894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8965136"/>
        <c:crosses val="autoZero"/>
        <c:auto val="1"/>
        <c:lblAlgn val="ctr"/>
        <c:lblOffset val="100"/>
        <c:noMultiLvlLbl val="0"/>
      </c:catAx>
      <c:valAx>
        <c:axId val="1768965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894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190501</xdr:rowOff>
    </xdr:from>
    <xdr:to>
      <xdr:col>11</xdr:col>
      <xdr:colOff>447675</xdr:colOff>
      <xdr:row>14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1876CDE-E937-FA7B-7A96-E586690B4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9524</xdr:colOff>
      <xdr:row>14</xdr:row>
      <xdr:rowOff>19050</xdr:rowOff>
    </xdr:from>
    <xdr:to>
      <xdr:col>11</xdr:col>
      <xdr:colOff>438149</xdr:colOff>
      <xdr:row>28</xdr:row>
      <xdr:rowOff>47625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4CC424A-A9C6-2156-4F86-C5AFD9AFE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D9E8D8-2503-4216-9AF0-B7A45489B61A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ID" tableColumnId="1"/>
      <queryTableField id="2" name="ФИО_исправленное" tableColumnId="2"/>
      <queryTableField id="3" name="Имя" tableColumnId="3"/>
      <queryTableField id="4" name="Отчество" tableColumnId="4"/>
      <queryTableField id="5" name="Email" tableColumnId="5"/>
      <queryTableField id="6" name="Город" tableColumnId="6"/>
      <queryTableField id="7" name="Дата регистрации" tableColumnId="7"/>
      <queryTableField id="8" name="Сумма покупки" tableColumnId="8"/>
      <queryTableField id="9" dataBound="0" tableColumnId="9"/>
      <queryTableField id="10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EC4422-D8EA-4512-A998-F5EF209C70C9}" name="Таблица1" displayName="Таблица1" ref="A1:F21" totalsRowShown="0" headerRowDxfId="19" dataDxfId="17" headerRowBorderDxfId="18" tableBorderDxfId="16" totalsRowBorderDxfId="15">
  <autoFilter ref="A1:F21" xr:uid="{FFEC4422-D8EA-4512-A998-F5EF209C70C9}"/>
  <tableColumns count="6">
    <tableColumn id="1" xr3:uid="{FD802194-078E-4B7F-A2A9-E37804BE9C9A}" name="ID" dataDxfId="14"/>
    <tableColumn id="2" xr3:uid="{F0D68083-7DE7-47A7-8278-5C1C3886336D}" name="ФИО" dataDxfId="13"/>
    <tableColumn id="3" xr3:uid="{2AD8491B-47D7-41D0-AAB2-E99905A7C88D}" name="Email" dataDxfId="12"/>
    <tableColumn id="4" xr3:uid="{E761154B-C37B-4BE1-A0EE-53A1F605A2FC}" name="Город" dataDxfId="11"/>
    <tableColumn id="5" xr3:uid="{A25959A5-BFA9-4799-AABB-777BEB760FB0}" name="Дата регистрации" dataDxfId="10"/>
    <tableColumn id="6" xr3:uid="{F5818EFF-FF07-442C-9E51-2869305EF5FA}" name="Сумма покупки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1EB050-ED1F-4B73-9C9B-2B619855AA74}" name="Таблица1_1" displayName="Таблица1_1" ref="A1:J20" tableType="queryTable" totalsRowShown="0" headerRowCellStyle="Заголовок 2" dataCellStyle="Заголовок 2">
  <autoFilter ref="A1:J20" xr:uid="{931EB050-ED1F-4B73-9C9B-2B619855AA74}"/>
  <tableColumns count="10">
    <tableColumn id="1" xr3:uid="{2062D726-F8F4-4A0C-9663-92632FB700A0}" uniqueName="1" name="ID" queryTableFieldId="1" dataDxfId="8" dataCellStyle="Заголовок 2"/>
    <tableColumn id="2" xr3:uid="{84C1E3F0-620D-40CF-A6D2-81E118AFBA49}" uniqueName="2" name="ФИО_исправленное" queryTableFieldId="2" dataDxfId="7" dataCellStyle="Заголовок 2"/>
    <tableColumn id="3" xr3:uid="{8E6F236B-CD08-4C1D-A8D0-6346BDCDDB11}" uniqueName="3" name="Имя" queryTableFieldId="3" dataDxfId="6" dataCellStyle="Заголовок 2"/>
    <tableColumn id="4" xr3:uid="{0C9BB42E-1E65-495E-AE12-C776F7D5E039}" uniqueName="4" name="Отчество" queryTableFieldId="4" dataDxfId="5" dataCellStyle="Заголовок 2"/>
    <tableColumn id="5" xr3:uid="{5BF2A7DF-0AF0-4390-BF72-D04531B1EF84}" uniqueName="5" name="Email" queryTableFieldId="5" dataDxfId="4" dataCellStyle="Заголовок 2"/>
    <tableColumn id="6" xr3:uid="{AB961FFF-AB38-48D9-A5D0-BDB27510C421}" uniqueName="6" name="Город" queryTableFieldId="6" dataDxfId="3" dataCellStyle="Заголовок 2"/>
    <tableColumn id="7" xr3:uid="{7356E56A-ECC2-4C7D-9956-B5AE58FD178F}" uniqueName="7" name="Дата регистрации" queryTableFieldId="7" dataDxfId="2" dataCellStyle="Заголовок 2"/>
    <tableColumn id="8" xr3:uid="{6380E802-117F-4703-80C1-953D2E8BE0F4}" uniqueName="8" name="Сумма покупки" queryTableFieldId="8" dataCellStyle="Заголовок 2"/>
    <tableColumn id="9" xr3:uid="{06518716-7938-4432-8A87-42FE370E2C13}" uniqueName="9" name="Статус записи" queryTableFieldId="9" dataDxfId="0" dataCellStyle="Заголовок 2">
      <calculatedColumnFormula>IF(J2="","✅ Готово",IF(AND(B2="",C2="",D2="",E2="",F2="",G2="",H2=""),"⚠️ Пустая строка","❌ Есть проблемы"))</calculatedColumnFormula>
    </tableColumn>
    <tableColumn id="10" xr3:uid="{BFAB4588-70BB-47E5-B1F0-CA9D879F4692}" uniqueName="10" name="Проблемы" queryTableFieldId="10" dataDxfId="1" dataCellStyle="Заголовок 2">
      <calculatedColumnFormula>CONCATENATE(IF(B2="","● Нет фамилии | ",""),IF(C2="","● Нет имени | ",""),IF(D2="","● Нет отчества | ",""),IF(E2="","● Нет email | ",""),IF(F2="","● Нет города | ",""),IF(G2="","● Нет даты | ",""),IF(H2="","● Нет суммы | ",""))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I13" sqref="I13"/>
    </sheetView>
  </sheetViews>
  <sheetFormatPr defaultRowHeight="15" x14ac:dyDescent="0.25"/>
  <cols>
    <col min="2" max="2" width="27.5703125" customWidth="1"/>
    <col min="3" max="3" width="32.7109375" customWidth="1"/>
    <col min="4" max="4" width="17.85546875" customWidth="1"/>
    <col min="5" max="5" width="29.28515625" customWidth="1"/>
    <col min="6" max="6" width="23" customWidth="1"/>
  </cols>
  <sheetData>
    <row r="1" spans="1:6" ht="16.5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48</v>
      </c>
      <c r="F1" s="10" t="s">
        <v>47</v>
      </c>
    </row>
    <row r="2" spans="1:6" ht="16.5" x14ac:dyDescent="0.25">
      <c r="A2" s="6">
        <v>1</v>
      </c>
      <c r="B2" s="1" t="s">
        <v>4</v>
      </c>
      <c r="C2" s="1" t="s">
        <v>5</v>
      </c>
      <c r="D2" s="1" t="s">
        <v>6</v>
      </c>
      <c r="E2" s="2">
        <v>45363</v>
      </c>
      <c r="F2" s="7">
        <v>15000</v>
      </c>
    </row>
    <row r="3" spans="1:6" ht="16.5" x14ac:dyDescent="0.25">
      <c r="A3" s="6">
        <v>2</v>
      </c>
      <c r="B3" s="1" t="s">
        <v>7</v>
      </c>
      <c r="C3" s="1" t="s">
        <v>8</v>
      </c>
      <c r="D3" s="1" t="s">
        <v>9</v>
      </c>
      <c r="E3" s="3">
        <v>45366</v>
      </c>
      <c r="F3" s="7">
        <v>12500</v>
      </c>
    </row>
    <row r="4" spans="1:6" ht="33" x14ac:dyDescent="0.25">
      <c r="A4" s="6">
        <v>3</v>
      </c>
      <c r="B4" s="1" t="s">
        <v>10</v>
      </c>
      <c r="C4" s="1" t="s">
        <v>11</v>
      </c>
      <c r="D4" s="1" t="s">
        <v>12</v>
      </c>
      <c r="E4" s="3">
        <v>45371</v>
      </c>
      <c r="F4" s="7">
        <v>8000</v>
      </c>
    </row>
    <row r="5" spans="1:6" ht="16.5" x14ac:dyDescent="0.25">
      <c r="A5" s="6">
        <v>4</v>
      </c>
      <c r="B5" s="1"/>
      <c r="C5" s="1" t="s">
        <v>13</v>
      </c>
      <c r="D5" s="1" t="s">
        <v>14</v>
      </c>
      <c r="E5" s="1" t="s">
        <v>15</v>
      </c>
      <c r="F5" s="7">
        <v>22000</v>
      </c>
    </row>
    <row r="6" spans="1:6" ht="33" x14ac:dyDescent="0.25">
      <c r="A6" s="6">
        <v>5</v>
      </c>
      <c r="B6" s="1" t="s">
        <v>16</v>
      </c>
      <c r="C6" s="1" t="s">
        <v>17</v>
      </c>
      <c r="D6" s="1" t="s">
        <v>18</v>
      </c>
      <c r="E6" s="3">
        <v>45376</v>
      </c>
      <c r="F6" s="7">
        <v>9500</v>
      </c>
    </row>
    <row r="7" spans="1:6" ht="16.5" x14ac:dyDescent="0.25">
      <c r="A7" s="6">
        <v>6</v>
      </c>
      <c r="B7" s="1" t="s">
        <v>19</v>
      </c>
      <c r="C7" s="1" t="s">
        <v>20</v>
      </c>
      <c r="D7" s="1" t="s">
        <v>6</v>
      </c>
      <c r="E7" s="3">
        <v>45379</v>
      </c>
      <c r="F7" s="7">
        <v>18000</v>
      </c>
    </row>
    <row r="8" spans="1:6" ht="16.5" x14ac:dyDescent="0.25">
      <c r="A8" s="6">
        <v>7</v>
      </c>
      <c r="B8" s="1" t="s">
        <v>21</v>
      </c>
      <c r="C8" s="1" t="s">
        <v>22</v>
      </c>
      <c r="D8" s="1" t="s">
        <v>23</v>
      </c>
      <c r="E8" s="2">
        <v>45383</v>
      </c>
      <c r="F8" s="7">
        <v>12000</v>
      </c>
    </row>
    <row r="9" spans="1:6" ht="16.5" x14ac:dyDescent="0.25">
      <c r="A9" s="6">
        <v>8</v>
      </c>
      <c r="B9" s="1"/>
      <c r="C9" s="1"/>
      <c r="D9" s="1" t="s">
        <v>24</v>
      </c>
      <c r="E9" s="3">
        <v>45387</v>
      </c>
      <c r="F9" s="7">
        <v>16000</v>
      </c>
    </row>
    <row r="10" spans="1:6" ht="33" x14ac:dyDescent="0.25">
      <c r="A10" s="6">
        <v>9</v>
      </c>
      <c r="B10" s="1" t="s">
        <v>25</v>
      </c>
      <c r="C10" s="1" t="s">
        <v>26</v>
      </c>
      <c r="D10" s="1" t="s">
        <v>24</v>
      </c>
      <c r="E10" s="3">
        <v>45390</v>
      </c>
      <c r="F10" s="7">
        <v>11000</v>
      </c>
    </row>
    <row r="11" spans="1:6" ht="16.5" x14ac:dyDescent="0.25">
      <c r="A11" s="6">
        <v>10</v>
      </c>
      <c r="B11" s="1" t="s">
        <v>4</v>
      </c>
      <c r="C11" s="1" t="s">
        <v>5</v>
      </c>
      <c r="D11" s="1" t="s">
        <v>6</v>
      </c>
      <c r="E11" s="3">
        <v>45392</v>
      </c>
      <c r="F11" s="7">
        <v>7500</v>
      </c>
    </row>
    <row r="12" spans="1:6" ht="33" x14ac:dyDescent="0.25">
      <c r="A12" s="6">
        <v>11</v>
      </c>
      <c r="B12" s="1" t="s">
        <v>27</v>
      </c>
      <c r="C12" s="1" t="s">
        <v>28</v>
      </c>
      <c r="D12" s="1" t="s">
        <v>12</v>
      </c>
      <c r="E12" s="2">
        <v>45394</v>
      </c>
      <c r="F12" s="7">
        <v>14000</v>
      </c>
    </row>
    <row r="13" spans="1:6" ht="16.5" x14ac:dyDescent="0.25">
      <c r="A13" s="6">
        <v>12</v>
      </c>
      <c r="B13" s="1" t="s">
        <v>29</v>
      </c>
      <c r="C13" s="1" t="s">
        <v>30</v>
      </c>
      <c r="D13" s="1" t="s">
        <v>6</v>
      </c>
      <c r="E13" s="3">
        <v>45397</v>
      </c>
      <c r="F13" s="7">
        <v>19500</v>
      </c>
    </row>
    <row r="14" spans="1:6" ht="16.5" x14ac:dyDescent="0.25">
      <c r="A14" s="6">
        <v>13</v>
      </c>
      <c r="B14" s="1" t="s">
        <v>31</v>
      </c>
      <c r="C14" s="1" t="s">
        <v>32</v>
      </c>
      <c r="D14" s="1" t="s">
        <v>18</v>
      </c>
      <c r="E14" s="3">
        <v>45400</v>
      </c>
      <c r="F14" s="7">
        <v>8500</v>
      </c>
    </row>
    <row r="15" spans="1:6" ht="16.5" x14ac:dyDescent="0.25">
      <c r="A15" s="6">
        <v>14</v>
      </c>
      <c r="B15" s="1" t="s">
        <v>33</v>
      </c>
      <c r="C15" s="1" t="s">
        <v>34</v>
      </c>
      <c r="D15" s="1" t="s">
        <v>9</v>
      </c>
      <c r="E15" s="3">
        <v>45404</v>
      </c>
      <c r="F15" s="7">
        <v>13000</v>
      </c>
    </row>
    <row r="16" spans="1:6" ht="33" x14ac:dyDescent="0.25">
      <c r="A16" s="6">
        <v>15</v>
      </c>
      <c r="B16" s="1" t="s">
        <v>35</v>
      </c>
      <c r="C16" s="1" t="s">
        <v>36</v>
      </c>
      <c r="D16" s="1" t="s">
        <v>12</v>
      </c>
      <c r="E16" s="1" t="s">
        <v>37</v>
      </c>
      <c r="F16" s="7">
        <v>17000</v>
      </c>
    </row>
    <row r="17" spans="1:6" ht="16.5" x14ac:dyDescent="0.25">
      <c r="A17" s="6">
        <v>16</v>
      </c>
      <c r="B17" s="1"/>
      <c r="C17" s="1"/>
      <c r="D17" s="1"/>
      <c r="E17" s="3">
        <v>45410</v>
      </c>
      <c r="F17" s="7">
        <v>9000</v>
      </c>
    </row>
    <row r="18" spans="1:6" ht="16.5" x14ac:dyDescent="0.25">
      <c r="A18" s="6">
        <v>17</v>
      </c>
      <c r="B18" s="1" t="s">
        <v>38</v>
      </c>
      <c r="C18" s="1" t="s">
        <v>39</v>
      </c>
      <c r="D18" s="1" t="s">
        <v>24</v>
      </c>
      <c r="E18" s="3">
        <v>45412</v>
      </c>
      <c r="F18" s="7">
        <v>12500</v>
      </c>
    </row>
    <row r="19" spans="1:6" ht="16.5" x14ac:dyDescent="0.25">
      <c r="A19" s="6">
        <v>18</v>
      </c>
      <c r="B19" s="1" t="s">
        <v>40</v>
      </c>
      <c r="C19" s="1" t="s">
        <v>41</v>
      </c>
      <c r="D19" s="1" t="s">
        <v>6</v>
      </c>
      <c r="E19" s="3">
        <v>45414</v>
      </c>
      <c r="F19" s="7">
        <v>15500</v>
      </c>
    </row>
    <row r="20" spans="1:6" ht="16.5" x14ac:dyDescent="0.25">
      <c r="A20" s="6">
        <v>19</v>
      </c>
      <c r="B20" s="1" t="s">
        <v>42</v>
      </c>
      <c r="C20" s="1" t="s">
        <v>43</v>
      </c>
      <c r="D20" s="1" t="s">
        <v>14</v>
      </c>
      <c r="E20" s="3">
        <v>45417</v>
      </c>
      <c r="F20" s="7">
        <v>11500</v>
      </c>
    </row>
    <row r="21" spans="1:6" ht="16.5" x14ac:dyDescent="0.25">
      <c r="A21" s="11">
        <v>20</v>
      </c>
      <c r="B21" s="12" t="s">
        <v>44</v>
      </c>
      <c r="C21" s="12" t="s">
        <v>45</v>
      </c>
      <c r="D21" s="12" t="s">
        <v>18</v>
      </c>
      <c r="E21" s="12" t="s">
        <v>46</v>
      </c>
      <c r="F21" s="13">
        <v>13500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7430-9041-43A2-B3A8-3698A5465B8B}">
  <dimension ref="A1:K252"/>
  <sheetViews>
    <sheetView zoomScale="60" zoomScaleNormal="60" workbookViewId="0">
      <selection activeCell="E41" sqref="E41"/>
    </sheetView>
  </sheetViews>
  <sheetFormatPr defaultRowHeight="15" x14ac:dyDescent="0.25"/>
  <cols>
    <col min="1" max="1" width="5.85546875" style="4" bestFit="1" customWidth="1"/>
    <col min="2" max="2" width="15.5703125" style="4" customWidth="1"/>
    <col min="3" max="3" width="12" style="4" bestFit="1" customWidth="1"/>
    <col min="4" max="4" width="13.7109375" style="4" bestFit="1" customWidth="1"/>
    <col min="5" max="5" width="28.140625" style="4" bestFit="1" customWidth="1"/>
    <col min="6" max="6" width="19.140625" style="4" bestFit="1" customWidth="1"/>
    <col min="7" max="7" width="22.42578125" style="4" bestFit="1" customWidth="1"/>
    <col min="8" max="8" width="20" style="4" bestFit="1" customWidth="1"/>
    <col min="9" max="9" width="21.7109375" style="4" bestFit="1" customWidth="1"/>
    <col min="10" max="10" width="85.7109375" style="4" bestFit="1" customWidth="1"/>
    <col min="11" max="16384" width="9.140625" style="4"/>
  </cols>
  <sheetData>
    <row r="1" spans="1:11" ht="18" thickBot="1" x14ac:dyDescent="0.35">
      <c r="A1" s="14" t="s">
        <v>0</v>
      </c>
      <c r="B1" s="14" t="s">
        <v>49</v>
      </c>
      <c r="C1" s="14" t="s">
        <v>50</v>
      </c>
      <c r="D1" s="14" t="s">
        <v>51</v>
      </c>
      <c r="E1" s="14" t="s">
        <v>2</v>
      </c>
      <c r="F1" s="14" t="s">
        <v>3</v>
      </c>
      <c r="G1" s="14" t="s">
        <v>48</v>
      </c>
      <c r="H1" s="14" t="s">
        <v>47</v>
      </c>
      <c r="I1" s="20" t="s">
        <v>100</v>
      </c>
      <c r="J1" s="21" t="s">
        <v>101</v>
      </c>
    </row>
    <row r="2" spans="1:11" ht="18.75" thickTop="1" thickBot="1" x14ac:dyDescent="0.35">
      <c r="A2" s="14">
        <v>1</v>
      </c>
      <c r="B2" s="14" t="s">
        <v>52</v>
      </c>
      <c r="C2" s="15" t="s">
        <v>53</v>
      </c>
      <c r="D2" s="15" t="s">
        <v>54</v>
      </c>
      <c r="E2" s="15" t="s">
        <v>5</v>
      </c>
      <c r="F2" s="15" t="s">
        <v>6</v>
      </c>
      <c r="G2" s="16">
        <v>45363</v>
      </c>
      <c r="H2" s="14">
        <v>15000</v>
      </c>
      <c r="I2" s="19" t="str">
        <f>IF(J2="","✅ Готово",IF(AND(B2="",C2="",D2="",E2="",F2="",G2="",H2=""),"⚠️ Пустая строка","❌ Есть проблемы"))</f>
        <v>✅ Готово</v>
      </c>
      <c r="J2" s="22" t="str">
        <f t="shared" ref="J2:J20" si="0">CONCATENATE(IF(B2="","● Нет фамилии | ",""),IF(C2="","● Нет имени | ",""),IF(D2="","● Нет отчества | ",""),IF(E2="","● Нет email | ",""),IF(F2="","● Нет города | ",""),IF(G2="","● Нет даты | ",""),IF(H2="","● Нет суммы | ",""))</f>
        <v/>
      </c>
    </row>
    <row r="3" spans="1:11" ht="18.75" thickTop="1" thickBot="1" x14ac:dyDescent="0.35">
      <c r="A3" s="14">
        <v>2</v>
      </c>
      <c r="B3" s="14" t="s">
        <v>55</v>
      </c>
      <c r="C3" s="15" t="s">
        <v>56</v>
      </c>
      <c r="D3" s="15" t="s">
        <v>57</v>
      </c>
      <c r="E3" s="15" t="s">
        <v>58</v>
      </c>
      <c r="F3" s="15" t="s">
        <v>6</v>
      </c>
      <c r="G3" s="16">
        <v>45366</v>
      </c>
      <c r="H3" s="14">
        <v>12500</v>
      </c>
      <c r="I3" s="19" t="str">
        <f t="shared" ref="I2:I20" si="1">IF(J3="","✅ Готово",IF(AND(B3="",C3="",D3="",E3="",F3="",G3="",H3=""),"⚠️ Пустая строка","❌ Есть проблемы"))</f>
        <v>❌ Есть проблемы</v>
      </c>
      <c r="J3" s="22" t="str">
        <f t="shared" si="0"/>
        <v xml:space="preserve">● Нет отчества | </v>
      </c>
    </row>
    <row r="4" spans="1:11" ht="18.75" thickTop="1" thickBot="1" x14ac:dyDescent="0.35">
      <c r="A4" s="14">
        <v>3</v>
      </c>
      <c r="B4" s="14" t="s">
        <v>59</v>
      </c>
      <c r="C4" s="15" t="s">
        <v>60</v>
      </c>
      <c r="D4" s="15" t="s">
        <v>57</v>
      </c>
      <c r="E4" s="15" t="s">
        <v>11</v>
      </c>
      <c r="F4" s="15" t="s">
        <v>12</v>
      </c>
      <c r="G4" s="16">
        <v>45371</v>
      </c>
      <c r="H4" s="14">
        <v>8000</v>
      </c>
      <c r="I4" s="19" t="str">
        <f t="shared" si="1"/>
        <v>❌ Есть проблемы</v>
      </c>
      <c r="J4" s="22" t="str">
        <f t="shared" si="0"/>
        <v xml:space="preserve">● Нет отчества | </v>
      </c>
      <c r="K4" s="5"/>
    </row>
    <row r="5" spans="1:11" ht="18.75" thickTop="1" thickBot="1" x14ac:dyDescent="0.35">
      <c r="A5" s="14">
        <v>4</v>
      </c>
      <c r="B5" s="14" t="s">
        <v>61</v>
      </c>
      <c r="C5" s="15" t="s">
        <v>57</v>
      </c>
      <c r="D5" s="15" t="s">
        <v>57</v>
      </c>
      <c r="E5" s="15" t="s">
        <v>62</v>
      </c>
      <c r="F5" s="15" t="s">
        <v>12</v>
      </c>
      <c r="G5" s="16">
        <v>45373</v>
      </c>
      <c r="H5" s="14">
        <v>22000</v>
      </c>
      <c r="I5" s="19" t="str">
        <f t="shared" si="1"/>
        <v>❌ Есть проблемы</v>
      </c>
      <c r="J5" s="22" t="str">
        <f t="shared" si="0"/>
        <v xml:space="preserve">● Нет имени | ● Нет отчества | </v>
      </c>
    </row>
    <row r="6" spans="1:11" ht="18.75" thickTop="1" thickBot="1" x14ac:dyDescent="0.35">
      <c r="A6" s="14">
        <v>5</v>
      </c>
      <c r="B6" s="14" t="s">
        <v>63</v>
      </c>
      <c r="C6" s="15" t="s">
        <v>64</v>
      </c>
      <c r="D6" s="15" t="s">
        <v>65</v>
      </c>
      <c r="E6" s="15" t="s">
        <v>17</v>
      </c>
      <c r="F6" s="15" t="s">
        <v>18</v>
      </c>
      <c r="G6" s="16">
        <v>45376</v>
      </c>
      <c r="H6" s="14">
        <v>9500</v>
      </c>
      <c r="I6" s="19" t="str">
        <f t="shared" si="1"/>
        <v>✅ Готово</v>
      </c>
      <c r="J6" s="22" t="str">
        <f t="shared" si="0"/>
        <v/>
      </c>
    </row>
    <row r="7" spans="1:11" ht="18.75" thickTop="1" thickBot="1" x14ac:dyDescent="0.35">
      <c r="A7" s="14">
        <v>6</v>
      </c>
      <c r="B7" s="14" t="s">
        <v>66</v>
      </c>
      <c r="C7" s="15" t="s">
        <v>67</v>
      </c>
      <c r="D7" s="15" t="s">
        <v>68</v>
      </c>
      <c r="E7" s="15" t="s">
        <v>69</v>
      </c>
      <c r="F7" s="15" t="s">
        <v>6</v>
      </c>
      <c r="G7" s="16">
        <v>45379</v>
      </c>
      <c r="H7" s="14">
        <v>18000</v>
      </c>
      <c r="I7" s="19" t="str">
        <f t="shared" si="1"/>
        <v>✅ Готово</v>
      </c>
      <c r="J7" s="22" t="str">
        <f t="shared" si="0"/>
        <v/>
      </c>
    </row>
    <row r="8" spans="1:11" ht="18.75" thickTop="1" thickBot="1" x14ac:dyDescent="0.35">
      <c r="A8" s="14">
        <v>7</v>
      </c>
      <c r="B8" s="14" t="s">
        <v>70</v>
      </c>
      <c r="C8" s="15" t="s">
        <v>71</v>
      </c>
      <c r="D8" s="15" t="s">
        <v>57</v>
      </c>
      <c r="E8" s="15" t="s">
        <v>72</v>
      </c>
      <c r="F8" s="15" t="s">
        <v>6</v>
      </c>
      <c r="G8" s="16">
        <v>45383</v>
      </c>
      <c r="H8" s="14">
        <v>12000</v>
      </c>
      <c r="I8" s="19" t="str">
        <f t="shared" si="1"/>
        <v>❌ Есть проблемы</v>
      </c>
      <c r="J8" s="22" t="str">
        <f t="shared" si="0"/>
        <v xml:space="preserve">● Нет отчества | </v>
      </c>
    </row>
    <row r="9" spans="1:11" ht="18.75" thickTop="1" thickBot="1" x14ac:dyDescent="0.35">
      <c r="A9" s="14">
        <v>8</v>
      </c>
      <c r="B9" s="14" t="s">
        <v>57</v>
      </c>
      <c r="C9" s="15" t="s">
        <v>57</v>
      </c>
      <c r="D9" s="15" t="s">
        <v>57</v>
      </c>
      <c r="E9" s="15" t="s">
        <v>57</v>
      </c>
      <c r="F9" s="15" t="s">
        <v>24</v>
      </c>
      <c r="G9" s="16">
        <v>45387</v>
      </c>
      <c r="H9" s="14">
        <v>16000</v>
      </c>
      <c r="I9" s="19" t="str">
        <f t="shared" si="1"/>
        <v>❌ Есть проблемы</v>
      </c>
      <c r="J9" s="22" t="str">
        <f t="shared" si="0"/>
        <v xml:space="preserve">● Нет фамилии | ● Нет имени | ● Нет отчества | ● Нет email | </v>
      </c>
      <c r="K9" s="5"/>
    </row>
    <row r="10" spans="1:11" ht="18.75" thickTop="1" thickBot="1" x14ac:dyDescent="0.35">
      <c r="A10" s="14">
        <v>9</v>
      </c>
      <c r="B10" s="14" t="s">
        <v>73</v>
      </c>
      <c r="C10" s="15" t="s">
        <v>74</v>
      </c>
      <c r="D10" s="15" t="s">
        <v>75</v>
      </c>
      <c r="E10" s="15" t="s">
        <v>26</v>
      </c>
      <c r="F10" s="15" t="s">
        <v>24</v>
      </c>
      <c r="G10" s="16">
        <v>45390</v>
      </c>
      <c r="H10" s="14">
        <v>11000</v>
      </c>
      <c r="I10" s="19" t="str">
        <f t="shared" si="1"/>
        <v>✅ Готово</v>
      </c>
      <c r="J10" s="22" t="str">
        <f t="shared" si="0"/>
        <v/>
      </c>
    </row>
    <row r="11" spans="1:11" ht="18.75" thickTop="1" thickBot="1" x14ac:dyDescent="0.35">
      <c r="A11" s="14">
        <v>11</v>
      </c>
      <c r="B11" s="14" t="s">
        <v>76</v>
      </c>
      <c r="C11" s="15" t="s">
        <v>77</v>
      </c>
      <c r="D11" s="15" t="s">
        <v>57</v>
      </c>
      <c r="E11" s="15" t="s">
        <v>28</v>
      </c>
      <c r="F11" s="15" t="s">
        <v>12</v>
      </c>
      <c r="G11" s="16">
        <v>45394</v>
      </c>
      <c r="H11" s="14">
        <v>14000</v>
      </c>
      <c r="I11" s="19" t="str">
        <f t="shared" si="1"/>
        <v>❌ Есть проблемы</v>
      </c>
      <c r="J11" s="22" t="str">
        <f t="shared" si="0"/>
        <v xml:space="preserve">● Нет отчества | </v>
      </c>
    </row>
    <row r="12" spans="1:11" ht="18.75" thickTop="1" thickBot="1" x14ac:dyDescent="0.35">
      <c r="A12" s="14">
        <v>12</v>
      </c>
      <c r="B12" s="14" t="s">
        <v>78</v>
      </c>
      <c r="C12" s="15" t="s">
        <v>79</v>
      </c>
      <c r="D12" s="15" t="s">
        <v>80</v>
      </c>
      <c r="E12" s="15" t="s">
        <v>81</v>
      </c>
      <c r="F12" s="15" t="s">
        <v>6</v>
      </c>
      <c r="G12" s="16">
        <v>45397</v>
      </c>
      <c r="H12" s="14">
        <v>19500</v>
      </c>
      <c r="I12" s="19" t="str">
        <f t="shared" si="1"/>
        <v>✅ Готово</v>
      </c>
      <c r="J12" s="19" t="str">
        <f t="shared" si="0"/>
        <v/>
      </c>
    </row>
    <row r="13" spans="1:11" ht="18.75" thickTop="1" thickBot="1" x14ac:dyDescent="0.35">
      <c r="A13" s="14">
        <v>13</v>
      </c>
      <c r="B13" s="14" t="s">
        <v>82</v>
      </c>
      <c r="C13" s="15" t="s">
        <v>83</v>
      </c>
      <c r="D13" s="15" t="s">
        <v>57</v>
      </c>
      <c r="E13" s="15" t="s">
        <v>84</v>
      </c>
      <c r="F13" s="15" t="s">
        <v>18</v>
      </c>
      <c r="G13" s="16">
        <v>45400</v>
      </c>
      <c r="H13" s="14">
        <v>8500</v>
      </c>
      <c r="I13" s="19" t="str">
        <f t="shared" si="1"/>
        <v>❌ Есть проблемы</v>
      </c>
      <c r="J13" s="19" t="str">
        <f t="shared" si="0"/>
        <v xml:space="preserve">● Нет отчества | </v>
      </c>
    </row>
    <row r="14" spans="1:11" ht="18.75" thickTop="1" thickBot="1" x14ac:dyDescent="0.35">
      <c r="A14" s="14">
        <v>14</v>
      </c>
      <c r="B14" s="14" t="s">
        <v>85</v>
      </c>
      <c r="C14" s="15" t="s">
        <v>86</v>
      </c>
      <c r="D14" s="15" t="s">
        <v>57</v>
      </c>
      <c r="E14" s="15" t="s">
        <v>87</v>
      </c>
      <c r="F14" s="15" t="s">
        <v>6</v>
      </c>
      <c r="G14" s="16">
        <v>45404</v>
      </c>
      <c r="H14" s="14">
        <v>13000</v>
      </c>
      <c r="I14" s="19" t="str">
        <f t="shared" si="1"/>
        <v>❌ Есть проблемы</v>
      </c>
      <c r="J14" s="19" t="str">
        <f t="shared" si="0"/>
        <v xml:space="preserve">● Нет отчества | </v>
      </c>
    </row>
    <row r="15" spans="1:11" ht="18.75" thickTop="1" thickBot="1" x14ac:dyDescent="0.35">
      <c r="A15" s="14">
        <v>15</v>
      </c>
      <c r="B15" s="14" t="s">
        <v>88</v>
      </c>
      <c r="C15" s="15" t="s">
        <v>68</v>
      </c>
      <c r="D15" s="15" t="s">
        <v>89</v>
      </c>
      <c r="E15" s="15" t="s">
        <v>36</v>
      </c>
      <c r="F15" s="15" t="s">
        <v>12</v>
      </c>
      <c r="G15" s="16">
        <v>45407</v>
      </c>
      <c r="H15" s="14">
        <v>17000</v>
      </c>
      <c r="I15" s="19" t="str">
        <f t="shared" si="1"/>
        <v>✅ Готово</v>
      </c>
      <c r="J15" s="19" t="str">
        <f t="shared" si="0"/>
        <v/>
      </c>
    </row>
    <row r="16" spans="1:11" ht="18.75" thickTop="1" thickBot="1" x14ac:dyDescent="0.35">
      <c r="A16" s="14">
        <v>16</v>
      </c>
      <c r="B16" s="14" t="s">
        <v>57</v>
      </c>
      <c r="C16" s="15" t="s">
        <v>57</v>
      </c>
      <c r="D16" s="15" t="s">
        <v>57</v>
      </c>
      <c r="E16" s="15" t="s">
        <v>57</v>
      </c>
      <c r="F16" s="15" t="s">
        <v>57</v>
      </c>
      <c r="G16" s="16">
        <v>45410</v>
      </c>
      <c r="H16" s="14">
        <v>9000</v>
      </c>
      <c r="I16" s="19" t="str">
        <f t="shared" si="1"/>
        <v>❌ Есть проблемы</v>
      </c>
      <c r="J16" s="19" t="str">
        <f t="shared" si="0"/>
        <v xml:space="preserve">● Нет фамилии | ● Нет имени | ● Нет отчества | ● Нет email | ● Нет города | </v>
      </c>
    </row>
    <row r="17" spans="1:10" ht="18.75" thickTop="1" thickBot="1" x14ac:dyDescent="0.35">
      <c r="A17" s="14">
        <v>17</v>
      </c>
      <c r="B17" s="14" t="s">
        <v>90</v>
      </c>
      <c r="C17" s="15" t="s">
        <v>91</v>
      </c>
      <c r="D17" s="15" t="s">
        <v>57</v>
      </c>
      <c r="E17" s="15" t="s">
        <v>39</v>
      </c>
      <c r="F17" s="15" t="s">
        <v>24</v>
      </c>
      <c r="G17" s="16">
        <v>45412</v>
      </c>
      <c r="H17" s="14">
        <v>12500</v>
      </c>
      <c r="I17" s="19" t="str">
        <f t="shared" si="1"/>
        <v>❌ Есть проблемы</v>
      </c>
      <c r="J17" s="19" t="str">
        <f t="shared" si="0"/>
        <v xml:space="preserve">● Нет отчества | </v>
      </c>
    </row>
    <row r="18" spans="1:10" ht="18.75" thickTop="1" thickBot="1" x14ac:dyDescent="0.35">
      <c r="A18" s="14">
        <v>18</v>
      </c>
      <c r="B18" s="14" t="s">
        <v>92</v>
      </c>
      <c r="C18" s="15" t="s">
        <v>93</v>
      </c>
      <c r="D18" s="15" t="s">
        <v>57</v>
      </c>
      <c r="E18" s="15" t="s">
        <v>94</v>
      </c>
      <c r="F18" s="15" t="s">
        <v>6</v>
      </c>
      <c r="G18" s="16">
        <v>45414</v>
      </c>
      <c r="H18" s="14">
        <v>15500</v>
      </c>
      <c r="I18" s="19" t="str">
        <f t="shared" si="1"/>
        <v>❌ Есть проблемы</v>
      </c>
      <c r="J18" s="19" t="str">
        <f t="shared" si="0"/>
        <v xml:space="preserve">● Нет отчества | </v>
      </c>
    </row>
    <row r="19" spans="1:10" ht="18.75" thickTop="1" thickBot="1" x14ac:dyDescent="0.35">
      <c r="A19" s="14">
        <v>19</v>
      </c>
      <c r="B19" s="14" t="s">
        <v>95</v>
      </c>
      <c r="C19" s="15" t="s">
        <v>96</v>
      </c>
      <c r="D19" s="15" t="s">
        <v>57</v>
      </c>
      <c r="E19" s="15" t="s">
        <v>97</v>
      </c>
      <c r="F19" s="15" t="s">
        <v>12</v>
      </c>
      <c r="G19" s="16">
        <v>45417</v>
      </c>
      <c r="H19" s="14">
        <v>11500</v>
      </c>
      <c r="I19" s="19" t="str">
        <f t="shared" si="1"/>
        <v>❌ Есть проблемы</v>
      </c>
      <c r="J19" s="19" t="str">
        <f t="shared" si="0"/>
        <v xml:space="preserve">● Нет отчества | </v>
      </c>
    </row>
    <row r="20" spans="1:10" ht="18.75" thickTop="1" thickBot="1" x14ac:dyDescent="0.35">
      <c r="A20" s="14">
        <v>20</v>
      </c>
      <c r="B20" s="14" t="s">
        <v>98</v>
      </c>
      <c r="C20" s="15" t="s">
        <v>99</v>
      </c>
      <c r="D20" s="15" t="s">
        <v>57</v>
      </c>
      <c r="E20" s="15" t="s">
        <v>45</v>
      </c>
      <c r="F20" s="15" t="s">
        <v>18</v>
      </c>
      <c r="G20" s="16">
        <v>45420</v>
      </c>
      <c r="H20" s="14">
        <v>13500</v>
      </c>
      <c r="I20" s="19" t="str">
        <f t="shared" si="1"/>
        <v>❌ Есть проблемы</v>
      </c>
      <c r="J20" s="19" t="str">
        <f t="shared" si="0"/>
        <v xml:space="preserve">● Нет отчества | </v>
      </c>
    </row>
    <row r="21" spans="1:10" ht="15.75" thickTop="1" x14ac:dyDescent="0.25">
      <c r="A21" s="5"/>
      <c r="B21" s="5"/>
    </row>
    <row r="22" spans="1:10" x14ac:dyDescent="0.25">
      <c r="A22" s="5"/>
      <c r="B22" s="5"/>
    </row>
    <row r="23" spans="1:10" ht="18.75" x14ac:dyDescent="0.25">
      <c r="A23" s="5"/>
      <c r="E23" s="17"/>
    </row>
    <row r="24" spans="1:10" ht="18.75" x14ac:dyDescent="0.25">
      <c r="A24" s="5"/>
      <c r="E24" s="18"/>
    </row>
    <row r="25" spans="1:10" ht="18.75" x14ac:dyDescent="0.25">
      <c r="A25" s="5"/>
      <c r="E25" s="17"/>
    </row>
    <row r="26" spans="1:10" ht="18.75" x14ac:dyDescent="0.25">
      <c r="A26" s="5"/>
      <c r="E26" s="17"/>
      <c r="F26" s="5"/>
    </row>
    <row r="27" spans="1:10" ht="18.75" x14ac:dyDescent="0.25">
      <c r="A27" s="5"/>
      <c r="E27" s="17"/>
    </row>
    <row r="28" spans="1:10" ht="18.75" x14ac:dyDescent="0.25">
      <c r="A28" s="5"/>
      <c r="E28" s="17"/>
    </row>
    <row r="29" spans="1:10" ht="18.75" x14ac:dyDescent="0.25">
      <c r="A29" s="5"/>
      <c r="E29" s="17"/>
    </row>
    <row r="30" spans="1:10" ht="18.75" x14ac:dyDescent="0.25">
      <c r="A30" s="5"/>
      <c r="E30" s="17"/>
    </row>
    <row r="31" spans="1:10" ht="18.75" x14ac:dyDescent="0.25">
      <c r="A31" s="5"/>
      <c r="E31" s="17"/>
      <c r="F31" s="5"/>
    </row>
    <row r="32" spans="1:10" ht="18.75" x14ac:dyDescent="0.25">
      <c r="A32" s="5"/>
      <c r="E32" s="18"/>
    </row>
    <row r="33" spans="1:5" ht="18.75" x14ac:dyDescent="0.25">
      <c r="A33" s="5"/>
      <c r="E33" s="17"/>
    </row>
    <row r="34" spans="1:5" x14ac:dyDescent="0.25">
      <c r="A34" s="5"/>
    </row>
    <row r="35" spans="1:5" x14ac:dyDescent="0.25">
      <c r="A35" s="5"/>
    </row>
    <row r="36" spans="1:5" x14ac:dyDescent="0.25">
      <c r="A36" s="5"/>
    </row>
    <row r="37" spans="1:5" x14ac:dyDescent="0.25">
      <c r="A37" s="5"/>
    </row>
    <row r="38" spans="1:5" x14ac:dyDescent="0.25">
      <c r="A38" s="5"/>
    </row>
    <row r="39" spans="1:5" x14ac:dyDescent="0.25">
      <c r="A39" s="5"/>
    </row>
    <row r="40" spans="1:5" x14ac:dyDescent="0.25">
      <c r="A40" s="5"/>
    </row>
    <row r="41" spans="1:5" x14ac:dyDescent="0.25">
      <c r="A41" s="5"/>
    </row>
    <row r="42" spans="1:5" x14ac:dyDescent="0.25">
      <c r="A42" s="5"/>
    </row>
    <row r="43" spans="1:5" x14ac:dyDescent="0.25">
      <c r="A43" s="5"/>
    </row>
    <row r="44" spans="1:5" x14ac:dyDescent="0.25">
      <c r="A44" s="5"/>
    </row>
    <row r="45" spans="1:5" x14ac:dyDescent="0.25">
      <c r="A45" s="5"/>
    </row>
    <row r="46" spans="1:5" x14ac:dyDescent="0.25">
      <c r="A46" s="5"/>
    </row>
    <row r="47" spans="1:5" x14ac:dyDescent="0.25">
      <c r="A47" s="5"/>
    </row>
    <row r="48" spans="1:5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C62D-625A-4C2E-8D6F-6AF53FB623E3}">
  <dimension ref="A1:F46"/>
  <sheetViews>
    <sheetView tabSelected="1" zoomScaleNormal="100" workbookViewId="0">
      <selection activeCell="K32" sqref="K32"/>
    </sheetView>
  </sheetViews>
  <sheetFormatPr defaultRowHeight="15" x14ac:dyDescent="0.25"/>
  <cols>
    <col min="1" max="1" width="69.140625" style="28" customWidth="1"/>
    <col min="2" max="2" width="15.7109375" style="28" bestFit="1" customWidth="1"/>
    <col min="3" max="3" width="7.28515625" style="28" customWidth="1"/>
    <col min="4" max="4" width="10.140625" style="28" customWidth="1"/>
    <col min="5" max="16384" width="9.140625" style="28"/>
  </cols>
  <sheetData>
    <row r="1" spans="1:6" ht="20.25" customHeight="1" x14ac:dyDescent="0.25">
      <c r="A1" s="42" t="s">
        <v>145</v>
      </c>
      <c r="B1" s="42"/>
      <c r="C1" s="42"/>
      <c r="D1" s="42"/>
      <c r="F1" s="5"/>
    </row>
    <row r="2" spans="1:6" ht="15.75" x14ac:dyDescent="0.25">
      <c r="A2" s="31"/>
      <c r="B2" s="33"/>
      <c r="C2" s="33"/>
      <c r="D2" s="33"/>
      <c r="F2" s="5"/>
    </row>
    <row r="3" spans="1:6" ht="15.75" x14ac:dyDescent="0.25">
      <c r="A3" s="43" t="s">
        <v>119</v>
      </c>
      <c r="B3" s="43"/>
      <c r="C3" s="43"/>
      <c r="D3" s="43"/>
    </row>
    <row r="4" spans="1:6" ht="15.75" x14ac:dyDescent="0.25">
      <c r="A4" s="24" t="s">
        <v>102</v>
      </c>
      <c r="B4" s="33"/>
      <c r="C4" s="24">
        <f>COUNT('Очищенные данные'!A2:A21)</f>
        <v>19</v>
      </c>
      <c r="D4" s="25">
        <f>IF(C4&gt;0, 1, 0)</f>
        <v>1</v>
      </c>
    </row>
    <row r="5" spans="1:6" ht="15.75" x14ac:dyDescent="0.25">
      <c r="A5" s="24" t="s">
        <v>116</v>
      </c>
      <c r="B5" s="24" t="s">
        <v>103</v>
      </c>
      <c r="C5" s="24">
        <f>COUNTIF('Очищенные данные'!I2:I21,"✅ Готово")</f>
        <v>6</v>
      </c>
      <c r="D5" s="26">
        <f>IF($C$4&gt;0, C5/$C$4, 0)</f>
        <v>0.31578947368421051</v>
      </c>
    </row>
    <row r="6" spans="1:6" ht="15.75" x14ac:dyDescent="0.25">
      <c r="A6" s="24" t="s">
        <v>117</v>
      </c>
      <c r="B6" s="24" t="s">
        <v>104</v>
      </c>
      <c r="C6" s="24">
        <f>COUNTIF('Очищенные данные'!I2:I21,"❌ Есть проблемы")</f>
        <v>13</v>
      </c>
      <c r="D6" s="26">
        <f>IF($C$4&gt;0, C6/$C$4, 0)</f>
        <v>0.68421052631578949</v>
      </c>
    </row>
    <row r="7" spans="1:6" ht="15.75" x14ac:dyDescent="0.25">
      <c r="A7" s="24" t="s">
        <v>118</v>
      </c>
      <c r="B7" s="24" t="s">
        <v>105</v>
      </c>
      <c r="C7" s="24">
        <f>COUNTIF('Очищенные данные'!I2:I21,"⚠️ Пустая строка")</f>
        <v>0</v>
      </c>
      <c r="D7" s="26">
        <f>IF($C$4&gt;0, C7/$C$4, 0)</f>
        <v>0</v>
      </c>
    </row>
    <row r="8" spans="1:6" s="32" customFormat="1" ht="15.75" x14ac:dyDescent="0.25">
      <c r="A8" s="37"/>
      <c r="B8" s="33"/>
      <c r="C8" s="33"/>
      <c r="D8" s="33"/>
    </row>
    <row r="9" spans="1:6" ht="15.75" x14ac:dyDescent="0.25">
      <c r="A9" s="43" t="s">
        <v>120</v>
      </c>
      <c r="B9" s="43"/>
      <c r="C9" s="43"/>
      <c r="D9" s="43"/>
    </row>
    <row r="10" spans="1:6" ht="15.75" x14ac:dyDescent="0.25">
      <c r="A10" s="23" t="s">
        <v>121</v>
      </c>
      <c r="B10" s="33"/>
      <c r="C10" s="33"/>
      <c r="D10" s="33"/>
    </row>
    <row r="11" spans="1:6" ht="15.75" x14ac:dyDescent="0.25">
      <c r="A11" s="23" t="s">
        <v>106</v>
      </c>
      <c r="B11" s="33"/>
      <c r="C11" s="33"/>
      <c r="D11" s="33"/>
    </row>
    <row r="12" spans="1:6" ht="16.5" customHeight="1" x14ac:dyDescent="0.25">
      <c r="A12" s="23" t="s">
        <v>107</v>
      </c>
      <c r="B12" s="30"/>
      <c r="C12" s="30"/>
      <c r="D12" s="33"/>
    </row>
    <row r="13" spans="1:6" ht="15.75" customHeight="1" x14ac:dyDescent="0.25">
      <c r="A13" s="23" t="s">
        <v>122</v>
      </c>
      <c r="B13" s="35"/>
      <c r="C13" s="35"/>
      <c r="D13" s="33"/>
    </row>
    <row r="14" spans="1:6" s="32" customFormat="1" ht="15.75" x14ac:dyDescent="0.25">
      <c r="A14" s="30"/>
      <c r="B14" s="36"/>
      <c r="C14" s="34"/>
      <c r="D14" s="33"/>
    </row>
    <row r="15" spans="1:6" ht="15.75" x14ac:dyDescent="0.25">
      <c r="A15" s="43" t="s">
        <v>123</v>
      </c>
      <c r="B15" s="43"/>
      <c r="C15" s="43"/>
      <c r="D15" s="43"/>
    </row>
    <row r="16" spans="1:6" ht="15.75" x14ac:dyDescent="0.25">
      <c r="A16" s="24" t="s">
        <v>108</v>
      </c>
      <c r="B16" s="24">
        <f>COUNTIF('Очищенные данные'!J2:J21,"*отчества*")</f>
        <v>13</v>
      </c>
      <c r="C16" s="26">
        <f>IF($C$4&gt;0, B16/$C$4, 0)</f>
        <v>0.68421052631578949</v>
      </c>
      <c r="D16" s="33"/>
    </row>
    <row r="17" spans="1:4" ht="15.75" x14ac:dyDescent="0.25">
      <c r="A17" s="24" t="s">
        <v>109</v>
      </c>
      <c r="B17" s="24">
        <f>COUNTIF('Очищенные данные'!J2:J21,"*email*")</f>
        <v>2</v>
      </c>
      <c r="C17" s="26">
        <f t="shared" ref="C17:C20" si="0">IF($C$4&gt;0, B17/$C$4, 0)</f>
        <v>0.10526315789473684</v>
      </c>
      <c r="D17" s="33"/>
    </row>
    <row r="18" spans="1:4" ht="15.75" x14ac:dyDescent="0.25">
      <c r="A18" s="24" t="s">
        <v>110</v>
      </c>
      <c r="B18" s="24">
        <f>COUNTIF('Очищенные данные'!J2:J21,"*города*")</f>
        <v>1</v>
      </c>
      <c r="C18" s="26">
        <f t="shared" si="0"/>
        <v>5.2631578947368418E-2</v>
      </c>
      <c r="D18" s="33"/>
    </row>
    <row r="19" spans="1:4" ht="15.75" x14ac:dyDescent="0.25">
      <c r="A19" s="24" t="s">
        <v>111</v>
      </c>
      <c r="B19" s="24">
        <f>COUNTIF('Очищенные данные'!J2:J21,"*даты*")</f>
        <v>0</v>
      </c>
      <c r="C19" s="26">
        <f t="shared" si="0"/>
        <v>0</v>
      </c>
      <c r="D19" s="33"/>
    </row>
    <row r="20" spans="1:4" ht="15.75" x14ac:dyDescent="0.25">
      <c r="A20" s="24" t="s">
        <v>112</v>
      </c>
      <c r="B20" s="24">
        <f>COUNTIF('Очищенные данные'!J2:J21,"*суммы*")</f>
        <v>0</v>
      </c>
      <c r="C20" s="26">
        <f t="shared" si="0"/>
        <v>0</v>
      </c>
      <c r="D20" s="33"/>
    </row>
    <row r="21" spans="1:4" ht="15.75" x14ac:dyDescent="0.25">
      <c r="A21" s="27" t="s">
        <v>113</v>
      </c>
      <c r="B21" s="27">
        <f>SUM(B16:B20)</f>
        <v>16</v>
      </c>
      <c r="C21" s="38"/>
      <c r="D21" s="38"/>
    </row>
    <row r="22" spans="1:4" s="32" customFormat="1" ht="15.75" x14ac:dyDescent="0.25">
      <c r="A22" s="39"/>
      <c r="B22" s="33"/>
      <c r="C22" s="33"/>
      <c r="D22" s="33"/>
    </row>
    <row r="23" spans="1:4" ht="15.75" x14ac:dyDescent="0.25">
      <c r="A23" s="43" t="s">
        <v>124</v>
      </c>
      <c r="B23" s="43"/>
      <c r="C23" s="43"/>
      <c r="D23" s="43"/>
    </row>
    <row r="24" spans="1:4" ht="15.75" x14ac:dyDescent="0.25">
      <c r="A24" s="40" t="s">
        <v>125</v>
      </c>
      <c r="B24" s="41"/>
      <c r="C24" s="41"/>
      <c r="D24" s="41"/>
    </row>
    <row r="25" spans="1:4" ht="15.75" x14ac:dyDescent="0.25">
      <c r="A25" s="23" t="s">
        <v>114</v>
      </c>
      <c r="B25" s="33"/>
      <c r="C25" s="33"/>
      <c r="D25" s="33"/>
    </row>
    <row r="26" spans="1:4" ht="15.75" x14ac:dyDescent="0.25">
      <c r="A26" s="23" t="s">
        <v>126</v>
      </c>
      <c r="B26" s="33"/>
      <c r="C26" s="33"/>
      <c r="D26" s="33"/>
    </row>
    <row r="27" spans="1:4" ht="15.75" x14ac:dyDescent="0.25">
      <c r="A27" s="23" t="s">
        <v>127</v>
      </c>
      <c r="B27" s="33"/>
      <c r="C27" s="33"/>
      <c r="D27" s="33"/>
    </row>
    <row r="28" spans="1:4" ht="15.75" x14ac:dyDescent="0.25">
      <c r="A28" s="40" t="s">
        <v>115</v>
      </c>
      <c r="B28" s="41"/>
      <c r="C28" s="41"/>
      <c r="D28" s="41"/>
    </row>
    <row r="29" spans="1:4" ht="15.75" x14ac:dyDescent="0.25">
      <c r="A29" s="23" t="s">
        <v>128</v>
      </c>
      <c r="B29" s="33"/>
      <c r="C29" s="33"/>
      <c r="D29" s="33"/>
    </row>
    <row r="30" spans="1:4" ht="15.75" x14ac:dyDescent="0.25">
      <c r="A30" s="23" t="s">
        <v>129</v>
      </c>
      <c r="B30" s="33"/>
      <c r="C30" s="33"/>
      <c r="D30" s="33"/>
    </row>
    <row r="31" spans="1:4" ht="15.75" x14ac:dyDescent="0.25">
      <c r="A31" s="23" t="s">
        <v>130</v>
      </c>
      <c r="B31" s="33"/>
      <c r="C31" s="33"/>
      <c r="D31" s="33"/>
    </row>
    <row r="32" spans="1:4" ht="15.75" x14ac:dyDescent="0.25">
      <c r="A32" s="40" t="s">
        <v>131</v>
      </c>
      <c r="B32" s="41"/>
      <c r="C32" s="41"/>
      <c r="D32" s="41"/>
    </row>
    <row r="33" spans="1:4" ht="15.75" x14ac:dyDescent="0.25">
      <c r="A33" s="23" t="s">
        <v>132</v>
      </c>
      <c r="B33" s="33"/>
      <c r="C33" s="33"/>
      <c r="D33" s="33"/>
    </row>
    <row r="34" spans="1:4" ht="15.75" x14ac:dyDescent="0.25">
      <c r="A34" s="23" t="s">
        <v>133</v>
      </c>
      <c r="B34" s="33"/>
      <c r="C34" s="33"/>
      <c r="D34" s="33"/>
    </row>
    <row r="35" spans="1:4" ht="15.75" x14ac:dyDescent="0.25">
      <c r="A35" s="23" t="s">
        <v>134</v>
      </c>
      <c r="B35" s="33"/>
      <c r="C35" s="33"/>
      <c r="D35" s="33"/>
    </row>
    <row r="36" spans="1:4" s="32" customFormat="1" ht="15.75" x14ac:dyDescent="0.25">
      <c r="A36" s="31"/>
      <c r="B36" s="33"/>
      <c r="C36" s="33"/>
      <c r="D36" s="33"/>
    </row>
    <row r="37" spans="1:4" ht="15.75" x14ac:dyDescent="0.25">
      <c r="A37" s="43" t="s">
        <v>135</v>
      </c>
      <c r="B37" s="43"/>
      <c r="C37" s="43"/>
      <c r="D37" s="43"/>
    </row>
    <row r="38" spans="1:4" ht="15.75" x14ac:dyDescent="0.25">
      <c r="A38" s="40" t="s">
        <v>136</v>
      </c>
      <c r="B38" s="41"/>
      <c r="C38" s="41"/>
      <c r="D38" s="41"/>
    </row>
    <row r="39" spans="1:4" ht="15.75" x14ac:dyDescent="0.25">
      <c r="A39" s="23" t="s">
        <v>137</v>
      </c>
      <c r="B39" s="33"/>
      <c r="C39" s="33"/>
      <c r="D39" s="33"/>
    </row>
    <row r="40" spans="1:4" ht="15.75" x14ac:dyDescent="0.25">
      <c r="A40" s="23" t="s">
        <v>138</v>
      </c>
      <c r="B40" s="33"/>
      <c r="C40" s="33"/>
      <c r="D40" s="33"/>
    </row>
    <row r="41" spans="1:4" ht="15.75" x14ac:dyDescent="0.25">
      <c r="A41" s="40" t="s">
        <v>139</v>
      </c>
      <c r="B41" s="41"/>
      <c r="C41" s="41"/>
      <c r="D41" s="41"/>
    </row>
    <row r="42" spans="1:4" ht="15.75" x14ac:dyDescent="0.25">
      <c r="A42" s="23" t="s">
        <v>140</v>
      </c>
      <c r="B42" s="29"/>
      <c r="C42" s="29"/>
      <c r="D42" s="29"/>
    </row>
    <row r="43" spans="1:4" ht="15.75" x14ac:dyDescent="0.25">
      <c r="A43" s="23" t="s">
        <v>141</v>
      </c>
      <c r="B43" s="29"/>
      <c r="C43" s="29"/>
      <c r="D43" s="29"/>
    </row>
    <row r="44" spans="1:4" ht="15.75" x14ac:dyDescent="0.25">
      <c r="A44" s="40" t="s">
        <v>142</v>
      </c>
      <c r="B44" s="41"/>
      <c r="C44" s="41"/>
      <c r="D44" s="41"/>
    </row>
    <row r="45" spans="1:4" ht="15.75" x14ac:dyDescent="0.25">
      <c r="A45" s="23" t="s">
        <v>143</v>
      </c>
      <c r="B45" s="29"/>
      <c r="C45" s="29"/>
      <c r="D45" s="29"/>
    </row>
    <row r="46" spans="1:4" ht="15.75" x14ac:dyDescent="0.25">
      <c r="A46" s="23" t="s">
        <v>144</v>
      </c>
      <c r="B46" s="29"/>
      <c r="C46" s="29"/>
      <c r="D46" s="29"/>
    </row>
  </sheetData>
  <mergeCells count="6">
    <mergeCell ref="A37:D37"/>
    <mergeCell ref="A1:D1"/>
    <mergeCell ref="A3:D3"/>
    <mergeCell ref="A9:D9"/>
    <mergeCell ref="A15:D15"/>
    <mergeCell ref="A23:D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57B158-8C8A-47D8-A224-B827315A53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Исходные данные</vt:lpstr>
      <vt:lpstr>Очищенные данные</vt:lpstr>
      <vt:lpstr>Результаты проекта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Мурлыкина</dc:creator>
  <cp:lastModifiedBy>Мария Мурлыка</cp:lastModifiedBy>
  <dcterms:created xsi:type="dcterms:W3CDTF">2015-06-05T18:19:34Z</dcterms:created>
  <dcterms:modified xsi:type="dcterms:W3CDTF">2025-12-04T19:13:23Z</dcterms:modified>
</cp:coreProperties>
</file>