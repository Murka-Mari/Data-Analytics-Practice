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Мурлыкина\OneDrive\Desktop\Кейсы\кейс 4\"/>
    </mc:Choice>
  </mc:AlternateContent>
  <xr:revisionPtr revIDLastSave="0" documentId="13_ncr:1_{845E48A8-C2AA-4DE2-95DA-3FE02B9D3B03}" xr6:coauthVersionLast="47" xr6:coauthVersionMax="47" xr10:uidLastSave="{00000000-0000-0000-0000-000000000000}"/>
  <bookViews>
    <workbookView xWindow="5055" yWindow="0" windowWidth="16110" windowHeight="16200" activeTab="1" xr2:uid="{00000000-000D-0000-FFFF-FFFF00000000}"/>
  </bookViews>
  <sheets>
    <sheet name="Исходные данные" sheetId="1" r:id="rId1"/>
    <sheet name="Дашбор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" l="1" a="1"/>
  <c r="B36" i="2" s="1"/>
  <c r="B35" i="2" a="1"/>
  <c r="B35" i="2" s="1"/>
  <c r="B34" i="2" a="1"/>
  <c r="B34" i="2" s="1"/>
  <c r="B33" i="2" a="1"/>
  <c r="B33" i="2" s="1"/>
  <c r="B32" i="2" a="1"/>
  <c r="B32" i="2" s="1"/>
  <c r="B31" i="2" a="1"/>
  <c r="B31" i="2" s="1"/>
  <c r="B30" i="2" a="1"/>
  <c r="B30" i="2" s="1"/>
  <c r="B29" i="2" a="1"/>
  <c r="B29" i="2" s="1"/>
  <c r="B28" i="2" a="1"/>
  <c r="B28" i="2" s="1"/>
  <c r="B27" i="2" a="1"/>
  <c r="B27" i="2" s="1"/>
  <c r="B26" i="2" a="1"/>
  <c r="B26" i="2" s="1"/>
  <c r="B25" i="2" a="1"/>
  <c r="B25" i="2" s="1"/>
  <c r="C18" i="2"/>
  <c r="C19" i="2"/>
  <c r="C20" i="2"/>
  <c r="C14" i="2"/>
  <c r="C15" i="2"/>
  <c r="C13" i="2"/>
  <c r="B20" i="2"/>
  <c r="B19" i="2"/>
  <c r="B18" i="2"/>
  <c r="B16" i="2"/>
  <c r="B15" i="2"/>
  <c r="B14" i="2"/>
  <c r="B13" i="2"/>
  <c r="I2" i="1"/>
  <c r="I3" i="1"/>
  <c r="I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2" i="1"/>
  <c r="G3" i="1"/>
  <c r="G4" i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B9" i="2"/>
  <c r="Y1" i="1"/>
  <c r="E3" i="1"/>
  <c r="F3" i="1" s="1"/>
  <c r="E9" i="1"/>
  <c r="F9" i="1" s="1"/>
  <c r="E13" i="1"/>
  <c r="F13" i="1" s="1"/>
  <c r="E19" i="1"/>
  <c r="F19" i="1" s="1"/>
  <c r="B21" i="2" l="1"/>
  <c r="B4" i="2"/>
  <c r="B8" i="2"/>
  <c r="E7" i="1"/>
  <c r="F7" i="1" s="1"/>
  <c r="E8" i="1"/>
  <c r="F8" i="1" s="1"/>
  <c r="E20" i="1"/>
  <c r="F20" i="1" s="1"/>
  <c r="E21" i="1"/>
  <c r="F21" i="1" s="1"/>
  <c r="E10" i="1"/>
  <c r="F10" i="1" s="1"/>
  <c r="E11" i="1"/>
  <c r="F11" i="1" s="1"/>
  <c r="E12" i="1"/>
  <c r="F12" i="1" s="1"/>
  <c r="E14" i="1"/>
  <c r="F14" i="1" s="1"/>
  <c r="E15" i="1"/>
  <c r="F15" i="1" s="1"/>
  <c r="E16" i="1"/>
  <c r="F16" i="1" s="1"/>
  <c r="E5" i="1"/>
  <c r="F5" i="1" s="1"/>
  <c r="E6" i="1"/>
  <c r="F6" i="1" s="1"/>
  <c r="E18" i="1"/>
  <c r="F18" i="1" s="1"/>
  <c r="E2" i="1"/>
  <c r="F2" i="1" s="1"/>
  <c r="E4" i="1"/>
  <c r="F4" i="1" s="1"/>
  <c r="E17" i="1"/>
  <c r="F17" i="1" s="1"/>
  <c r="B5" i="2" l="1"/>
  <c r="B6" i="2"/>
  <c r="B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<sst xmlns="http://schemas.openxmlformats.org/spreadsheetml/2006/main" count="32" uniqueCount="31">
  <si>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ID клиента</t>
  </si>
  <si>
    <t>Дата первой покупки</t>
  </si>
  <si>
    <t>Дата последней покупки</t>
  </si>
  <si>
    <t>Сумма покупок</t>
  </si>
  <si>
    <t>Статус клиента</t>
  </si>
  <si>
    <t>Лояльный Ушедший</t>
  </si>
  <si>
    <t>Время жизни дней</t>
  </si>
  <si>
    <t>Сегмент по сумме</t>
  </si>
  <si>
    <t>Сегмент по активности</t>
  </si>
  <si>
    <t>Дашборд анализа оттока клиентов</t>
  </si>
  <si>
    <t>Ключевые метрики</t>
  </si>
  <si>
    <t>Всего клиентов</t>
  </si>
  <si>
    <t>Лояльные клиенты</t>
  </si>
  <si>
    <t>Ушедшие клиенты</t>
  </si>
  <si>
    <t>Среднее время жизни, дней</t>
  </si>
  <si>
    <t>Уровень оттока</t>
  </si>
  <si>
    <t>Средний чек, руб</t>
  </si>
  <si>
    <t>Сегментация клиентов</t>
  </si>
  <si>
    <t>По сумме покупок</t>
  </si>
  <si>
    <t>Малый (&lt;10 тыс.)</t>
  </si>
  <si>
    <t>Средний (10-50 тыс.)</t>
  </si>
  <si>
    <t>Крупный (&gt;50 тыс.)</t>
  </si>
  <si>
    <t>По активности</t>
  </si>
  <si>
    <t>Недавние (&lt;100 дн.)</t>
  </si>
  <si>
    <t>Ядро (100-365 дн.)</t>
  </si>
  <si>
    <t>Ветераны (&gt;365 дн.)</t>
  </si>
  <si>
    <t>Итого:</t>
  </si>
  <si>
    <t>Доля (%)</t>
  </si>
  <si>
    <t>Динамика оттока по месяцам 2025</t>
  </si>
  <si>
    <t>Месяц</t>
  </si>
  <si>
    <t>Ушедшие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</si>
</sst>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[$-419]mmmm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F1115"/>
      <name val="Consolas"/>
      <family val="3"/>
      <charset val="204"/>
    </font>
    <font>
      <sz val="12"/>
      <color rgb="FF0F1115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F1115"/>
      <name val="Times New Roman"/>
      <family val="1"/>
      <charset val="204"/>
    </font>
    <font>
      <sz val="11"/>
      <color rgb="FF0F1115"/>
      <name val="Consolas"/>
      <family val="3"/>
      <charset val="204"/>
    </font>
    <font>
      <sz val="11"/>
      <color rgb="FF0F1115"/>
      <name val="Times New Roman"/>
      <family val="1"/>
      <charset val="204"/>
    </font>
    <font>
      <b/>
      <sz val="16"/>
      <color rgb="FF0F1115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rgb="FF0F111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left" vertical="center" inden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0" fontId="9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1" applyNumberFormat="1" applyFont="1"/>
    <xf numFmtId="9" fontId="3" fillId="0" borderId="0" xfId="2" applyFont="1" applyAlignment="1">
      <alignment horizontal="center" vertical="center"/>
    </xf>
    <xf numFmtId="0" fontId="12" fillId="3" borderId="0" xfId="0" applyFont="1" applyFill="1" applyAlignment="1">
      <alignment horizontal="right" vertical="center"/>
    </xf>
    <xf numFmtId="164" fontId="12" fillId="3" borderId="0" xfId="1" applyNumberFormat="1" applyFont="1" applyFill="1"/>
    <xf numFmtId="0" fontId="7" fillId="3" borderId="0" xfId="0" applyFont="1" applyFill="1" applyAlignment="1">
      <alignment horizontal="left" vertical="center"/>
    </xf>
    <xf numFmtId="0" fontId="7" fillId="3" borderId="0" xfId="0" applyFont="1" applyFill="1"/>
    <xf numFmtId="1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0" xfId="0" applyNumberFormat="1" applyFont="1"/>
    <xf numFmtId="0" fontId="1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4" fontId="12" fillId="2" borderId="0" xfId="1" applyNumberFormat="1" applyFont="1" applyFill="1"/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7" fillId="0" borderId="0" xfId="0" applyFont="1"/>
    <xf numFmtId="164" fontId="3" fillId="0" borderId="0" xfId="1" applyNumberFormat="1" applyFont="1" applyFill="1"/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12" fillId="0" borderId="0" xfId="1" applyNumberFormat="1" applyFont="1" applyFill="1"/>
    <xf numFmtId="0" fontId="12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/>
    <xf numFmtId="0" fontId="7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 indent="2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0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Распределение по сумме</a:t>
            </a:r>
            <a:endParaRPr lang="ru-RU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0387631546056745"/>
          <c:y val="0.1397704270096041"/>
          <c:w val="0.58137432820897395"/>
          <c:h val="0.7756579419538864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C1E-4AF4-BA7F-765030151CE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1E-4AF4-BA7F-765030151CE1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C1E-4AF4-BA7F-765030151CE1}"/>
              </c:ext>
            </c:extLst>
          </c:dPt>
          <c:dLbls>
            <c:dLbl>
              <c:idx val="0"/>
              <c:layout>
                <c:manualLayout>
                  <c:x val="-0.1828570428696413"/>
                  <c:y val="0.19479713528680878"/>
                </c:manualLayout>
              </c:layout>
              <c:tx>
                <c:rich>
                  <a:bodyPr/>
                  <a:lstStyle/>
                  <a:p>
                    <a:fld id="{8EDB35FB-D78A-4571-969E-DFAF8AB379CC}" type="CATEGORYNAME">
                      <a:rPr lang="ru-RU" sz="1000"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[ИМЯ КАТЕГОРИИ]</a:t>
                    </a:fld>
                    <a:r>
                      <a:rPr lang="ru-RU" sz="1000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; </a:t>
                    </a:r>
                  </a:p>
                  <a:p>
                    <a:r>
                      <a:rPr lang="ru-RU" sz="1000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</a:t>
                    </a:r>
                    <a:fld id="{BDC204F9-C36F-4554-850D-500F824C1A4F}" type="PERCENTAGE">
                      <a:rPr lang="ru-RU" sz="1000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[ПРОЦЕНТ]</a:t>
                    </a:fld>
                    <a:endParaRPr lang="ru-RU" sz="1000" b="1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4722222222222"/>
                      <c:h val="0.218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C1E-4AF4-BA7F-765030151CE1}"/>
                </c:ext>
              </c:extLst>
            </c:dLbl>
            <c:dLbl>
              <c:idx val="1"/>
              <c:layout>
                <c:manualLayout>
                  <c:x val="-0.22007929008873892"/>
                  <c:y val="-0.206640904204782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EEFC27-D539-4AAB-9BB4-C0579C7251A9}" type="CATEGORYNAME">
                      <a:rPr lang="ru-RU" sz="1000"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[ИМЯ КАТЕГОРИИ]</a:t>
                    </a:fld>
                    <a:r>
                      <a:rPr lang="ru-RU" sz="1000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;</a:t>
                    </a:r>
                  </a:p>
                  <a:p>
                    <a:pPr>
                      <a:defRPr/>
                    </a:pPr>
                    <a:fld id="{F37090C3-2A67-49D3-B3A6-B521C91C592B}" type="PERCENTAGE">
                      <a:rPr lang="ru-RU" sz="1000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[ПРОЦЕНТ]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34520684914384"/>
                      <c:h val="0.156635280536089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C1E-4AF4-BA7F-765030151CE1}"/>
                </c:ext>
              </c:extLst>
            </c:dLbl>
            <c:dLbl>
              <c:idx val="2"/>
              <c:layout>
                <c:manualLayout>
                  <c:x val="0.21785706786651668"/>
                  <c:y val="2.6858487085018465E-2"/>
                </c:manualLayout>
              </c:layout>
              <c:tx>
                <c:rich>
                  <a:bodyPr/>
                  <a:lstStyle/>
                  <a:p>
                    <a:fld id="{B31BA281-27A0-41EB-8015-B059582D7A50}" type="CATEGORYNAME">
                      <a:rPr lang="ru-RU"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[ИМЯ КАТЕГОРИИ]</a:t>
                    </a:fld>
                    <a:r>
                      <a:rPr lang="ru-RU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; </a:t>
                    </a:r>
                  </a:p>
                  <a:p>
                    <a:fld id="{24AE432C-D288-4267-B075-695D0FE3D503}" type="PERCENTAGE">
                      <a:rPr lang="ru-RU" b="1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[ПРОЦЕНТ]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38490188726405"/>
                      <c:h val="0.118055649503503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C1E-4AF4-BA7F-765030151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Дашборд!$A$13:$A$15</c:f>
              <c:strCache>
                <c:ptCount val="3"/>
                <c:pt idx="0">
                  <c:v>Малый (&lt;10 тыс.)</c:v>
                </c:pt>
                <c:pt idx="1">
                  <c:v>Средний (10-50 тыс.)</c:v>
                </c:pt>
                <c:pt idx="2">
                  <c:v>Крупный (&gt;50 тыс.)</c:v>
                </c:pt>
              </c:strCache>
            </c:strRef>
          </c:cat>
          <c:val>
            <c:numRef>
              <c:f>Дашборд!$B$13:$B$15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E-4AF4-BA7F-765030151CE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1E-442C-91D6-83262D5EBEF4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1E-442C-91D6-83262D5EBEF4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1E-442C-91D6-83262D5EBE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Дашборд!$A$13:$A$15</c:f>
              <c:strCache>
                <c:ptCount val="3"/>
                <c:pt idx="0">
                  <c:v>Малый (&lt;10 тыс.)</c:v>
                </c:pt>
                <c:pt idx="1">
                  <c:v>Средний (10-50 тыс.)</c:v>
                </c:pt>
                <c:pt idx="2">
                  <c:v>Крупный (&gt;50 тыс.)</c:v>
                </c:pt>
              </c:strCache>
            </c:strRef>
          </c:cat>
          <c:val>
            <c:numRef>
              <c:f>Дашборд!$C$13:$C$15</c:f>
              <c:numCache>
                <c:formatCode>_-* #\ ##0.0_-;\-* #\ ##0.0_-;_-* "-"??_-;_-@_-</c:formatCode>
                <c:ptCount val="3"/>
                <c:pt idx="0">
                  <c:v>0.15</c:v>
                </c:pt>
                <c:pt idx="1">
                  <c:v>0.4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E-4AF4-BA7F-765030151C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Распределение</a:t>
            </a:r>
            <a:r>
              <a:rPr lang="ru-RU" sz="14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ru-RU" sz="12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по активности</a:t>
            </a:r>
            <a:endParaRPr lang="ru-RU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34-4BE7-9313-1934897143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34-4BE7-9313-19348971437B}"/>
              </c:ext>
            </c:extLst>
          </c:dPt>
          <c:dLbls>
            <c:dLbl>
              <c:idx val="0"/>
              <c:layout>
                <c:manualLayout>
                  <c:x val="5.1430403022002125E-3"/>
                  <c:y val="0.297649825021872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3705D9-CD62-407E-B51B-BBDB4EBFC664}" type="VALUE">
                      <a:rPr lang="en-US" sz="1000"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57568702615438"/>
                      <c:h val="7.567147856517934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E34-4BE7-9313-1934897143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AD4427-3481-47EE-86C1-6869B72D7D8D}" type="VALUE">
                      <a:rPr lang="en-US" sz="1000"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E34-4BE7-9313-1934897143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C6161B-1079-4086-A53F-0C7DD4227AB7}" type="VALUE">
                      <a:rPr lang="en-US" sz="1000" b="1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E34-4BE7-9313-1934897143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Дашборд!$A$18:$A$20</c:f>
              <c:strCache>
                <c:ptCount val="3"/>
                <c:pt idx="0">
                  <c:v>Недавние (&lt;100 дн.)</c:v>
                </c:pt>
                <c:pt idx="1">
                  <c:v>Ядро (100-365 дн.)</c:v>
                </c:pt>
                <c:pt idx="2">
                  <c:v>Ветераны (&gt;365 дн.)</c:v>
                </c:pt>
              </c:strCache>
            </c:strRef>
          </c:cat>
          <c:val>
            <c:numRef>
              <c:f>Дашборд!$B$18:$B$20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4-4BE7-9313-19348971437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5276800"/>
        <c:axId val="1095266240"/>
      </c:barChart>
      <c:catAx>
        <c:axId val="10952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5266240"/>
        <c:crosses val="autoZero"/>
        <c:auto val="1"/>
        <c:lblAlgn val="ctr"/>
        <c:lblOffset val="100"/>
        <c:noMultiLvlLbl val="0"/>
      </c:catAx>
      <c:valAx>
        <c:axId val="1095266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527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Динамика количества ушедших клиентов по месяцам</a:t>
            </a:r>
            <a:endParaRPr lang="ru-RU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200699912510936"/>
          <c:y val="0.15319444444444447"/>
          <c:w val="0.8051318897637794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Дашборд!$B$24</c:f>
              <c:strCache>
                <c:ptCount val="1"/>
                <c:pt idx="0">
                  <c:v>Ушедшие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Дашборд!$A$25:$A$36</c:f>
              <c:numCache>
                <c:formatCode>[$-419]mmmm\ yyyy;@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Дашборд!$B$25:$B$36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B-4503-A355-E6B5834EA2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95296000"/>
        <c:axId val="1095300800"/>
      </c:scatterChart>
      <c:valAx>
        <c:axId val="1095296000"/>
        <c:scaling>
          <c:orientation val="minMax"/>
        </c:scaling>
        <c:delete val="0"/>
        <c:axPos val="b"/>
        <c:numFmt formatCode="[$-419]mmmm\ yy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6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5300800"/>
        <c:crosses val="autoZero"/>
        <c:crossBetween val="midCat"/>
      </c:valAx>
      <c:valAx>
        <c:axId val="1095300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529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23132</xdr:colOff>
      <xdr:row>1</xdr:row>
      <xdr:rowOff>222476</xdr:rowOff>
    </xdr:from>
    <xdr:to>
      <xdr:col>9</xdr:col>
      <xdr:colOff>27214</xdr:colOff>
      <xdr:row>12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EA1FAB4-0518-90DE-8EFB-0C889D081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27214</xdr:colOff>
      <xdr:row>12</xdr:row>
      <xdr:rowOff>81642</xdr:rowOff>
    </xdr:from>
    <xdr:to>
      <xdr:col>9</xdr:col>
      <xdr:colOff>40821</xdr:colOff>
      <xdr:row>23</xdr:row>
      <xdr:rowOff>122463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4E34D2B-364C-E0AD-AC7D-31603137F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19049</xdr:colOff>
      <xdr:row>23</xdr:row>
      <xdr:rowOff>146275</xdr:rowOff>
    </xdr:from>
    <xdr:to>
      <xdr:col>9</xdr:col>
      <xdr:colOff>13606</xdr:colOff>
      <xdr:row>36</xdr:row>
      <xdr:rowOff>19051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983CC34-C8D5-B8A8-CC78-E4DCB74C7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DA8F7-4460-4E0B-8A80-09142C0A45C0}" name="Таблица1" displayName="Таблица1" ref="A1:I21" totalsRowShown="0" headerRowDxfId="9">
  <autoFilter ref="A1:I21" xr:uid="{1D3DA8F7-4460-4E0B-8A80-09142C0A45C0}"/>
  <tableColumns count="9">
    <tableColumn id="1" xr3:uid="{1DB3B2B1-3C99-4FCB-9E69-4ABC50E5C710}" name="ID клиента" dataDxfId="8"/>
    <tableColumn id="2" xr3:uid="{810F1931-6244-49D6-9226-A52B1A6FB6E9}" name="Дата первой покупки" dataDxfId="7"/>
    <tableColumn id="3" xr3:uid="{3910425E-9AE1-46CE-B3A7-61BC10EDCC29}" name="Дата последней покупки" dataDxfId="6"/>
    <tableColumn id="4" xr3:uid="{A3403208-DD22-4B11-9311-A9C817B8F2C7}" name="Сумма покупок" dataDxfId="5"/>
    <tableColumn id="5" xr3:uid="{1612CC6E-1ECC-4488-9545-284F3A42C98E}" name="Статус клиента" dataDxfId="4">
      <calculatedColumnFormula>IF(D2="","", IF(B2=C2, "Новый", IF(C2&gt;=$Y$1-30, "Активный", "Ушедший")))</calculatedColumnFormula>
    </tableColumn>
    <tableColumn id="6" xr3:uid="{7E434EBC-8C3C-4E2B-8039-64C11B8F5AC5}" name="Лояльный Ушедший" dataDxfId="3">
      <calculatedColumnFormula>IF(E2="Ушедший", "Ушедший", "Лояльный")</calculatedColumnFormula>
    </tableColumn>
    <tableColumn id="7" xr3:uid="{5B2358C9-14F0-4A7B-A3EB-07BA6E275FA1}" name="Время жизни дней" dataDxfId="2">
      <calculatedColumnFormula>IF(AND(B2&lt;&gt;"",C2&lt;&gt;""), DATEDIF(B2, C2, "d"), "")</calculatedColumnFormula>
    </tableColumn>
    <tableColumn id="8" xr3:uid="{AC9467B5-4F23-4BBE-8D93-8A55EEABDC00}" name="Сегмент по сумме" dataDxfId="1">
      <calculatedColumnFormula>IF(D2="","", IF(D2&lt;10000,"Малый",IF(D2&lt;=50000,"Средний","Крупный")))</calculatedColumnFormula>
    </tableColumn>
    <tableColumn id="9" xr3:uid="{8E0D388E-5050-4AA9-985D-FCA1A62A7C2B}" name="Сегмент по активности" dataDxfId="0">
      <calculatedColumnFormula>IF(G2="","", IF(G2&lt;100,"Недавние",IF(G2&lt;=365,"Ядро","Ветераны")))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workbookViewId="0">
      <selection activeCell="E29" sqref="E29"/>
    </sheetView>
  </sheetViews>
  <sheetFormatPr defaultRowHeight="15" x14ac:dyDescent="0.25"/>
  <cols>
    <col min="1" max="1" width="11.140625" customWidth="1"/>
    <col min="2" max="2" width="25.28515625" customWidth="1"/>
    <col min="3" max="3" width="28.7109375" customWidth="1"/>
    <col min="4" max="4" width="19.28515625" customWidth="1"/>
    <col min="5" max="5" width="23.140625" customWidth="1"/>
    <col min="6" max="6" width="13.42578125" bestFit="1" customWidth="1"/>
    <col min="7" max="7" width="12.28515625" bestFit="1" customWidth="1"/>
    <col min="8" max="9" width="13.28515625" bestFit="1" customWidth="1"/>
    <col min="25" max="25" width="12.42578125" customWidth="1"/>
  </cols>
  <sheetData>
    <row r="1" spans="1:25" ht="47.25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Y1" s="2">
        <f>DATE(2025,12,4)</f>
        <v>45995</v>
      </c>
    </row>
    <row r="2" spans="1:25" ht="15.75" x14ac:dyDescent="0.25">
      <c r="A2" s="12">
        <v>1</v>
      </c>
      <c r="B2" s="19">
        <v>45672</v>
      </c>
      <c r="C2" s="19">
        <v>45995</v>
      </c>
      <c r="D2" s="21">
        <v>125000</v>
      </c>
      <c r="E2" s="20" t="str">
        <f>IF(D2="","", IF(B2=C2, "Новый", IF(C2&gt;=$Y$1-30, "Активный", "Ушедший")))</f>
        <v>Активный</v>
      </c>
      <c r="F2" s="20" t="str">
        <f>IF(E2="Ушедший", "Ушедший", "Лояльный")</f>
        <v>Лояльный</v>
      </c>
      <c r="G2" s="20">
        <f t="shared" ref="G2:G21" si="0">IF(AND(B2&lt;&gt;"",C2&lt;&gt;""), DATEDIF(B2, C2, "d"), "")</f>
        <v>323</v>
      </c>
      <c r="H2" s="20" t="str">
        <f>IF(D2="","", IF(D2&lt;10000,"Малый",IF(D2&lt;=50000,"Средний","Крупный")))</f>
        <v>Крупный</v>
      </c>
      <c r="I2" s="20" t="str">
        <f t="shared" ref="I2:I21" si="1">IF(G2="","", IF(G2&lt;100,"Недавние",IF(G2&lt;=365,"Ядро","Ветераны")))</f>
        <v>Ядро</v>
      </c>
    </row>
    <row r="3" spans="1:25" ht="15.75" x14ac:dyDescent="0.25">
      <c r="A3" s="12">
        <v>2</v>
      </c>
      <c r="B3" s="19">
        <v>45981</v>
      </c>
      <c r="C3" s="19">
        <v>45981</v>
      </c>
      <c r="D3" s="21">
        <v>8500</v>
      </c>
      <c r="E3" s="6" t="str">
        <f t="shared" ref="E3:E21" si="2">IF(D3="","", IF(B3=C3, "Новый", IF(C3&gt;=$Y$1-30, "Активный", "Ушедший")))</f>
        <v>Новый</v>
      </c>
      <c r="F3" s="6" t="str">
        <f t="shared" ref="F3:F21" si="3">IF(E3="Ушедший", "Ушедший", "Лояльный")</f>
        <v>Лояльный</v>
      </c>
      <c r="G3" s="6">
        <f t="shared" si="0"/>
        <v>0</v>
      </c>
      <c r="H3" s="6" t="str">
        <f t="shared" ref="H3:H21" si="4">IF(D3="","", IF(D3&lt;10000,"Малый",IF(D3&lt;=50000,"Средний","Крупный")))</f>
        <v>Малый</v>
      </c>
      <c r="I3" s="6" t="str">
        <f t="shared" si="1"/>
        <v>Недавние</v>
      </c>
    </row>
    <row r="4" spans="1:25" ht="15.75" x14ac:dyDescent="0.25">
      <c r="A4" s="12">
        <v>3</v>
      </c>
      <c r="B4" s="19">
        <v>45575</v>
      </c>
      <c r="C4" s="19">
        <v>45884</v>
      </c>
      <c r="D4" s="21">
        <v>45600</v>
      </c>
      <c r="E4" s="6" t="str">
        <f t="shared" si="2"/>
        <v>Ушедший</v>
      </c>
      <c r="F4" s="6" t="str">
        <f t="shared" si="3"/>
        <v>Ушедший</v>
      </c>
      <c r="G4" s="6">
        <f t="shared" si="0"/>
        <v>309</v>
      </c>
      <c r="H4" s="6" t="str">
        <f t="shared" si="4"/>
        <v>Средний</v>
      </c>
      <c r="I4" s="6" t="str">
        <f t="shared" si="1"/>
        <v>Ядро</v>
      </c>
    </row>
    <row r="5" spans="1:25" ht="15.75" x14ac:dyDescent="0.25">
      <c r="A5" s="12">
        <v>4</v>
      </c>
      <c r="B5" s="19">
        <v>45693</v>
      </c>
      <c r="C5" s="19">
        <v>45950</v>
      </c>
      <c r="D5" s="21">
        <v>32000</v>
      </c>
      <c r="E5" s="6" t="str">
        <f t="shared" si="2"/>
        <v>Ушедший</v>
      </c>
      <c r="F5" s="6" t="str">
        <f t="shared" si="3"/>
        <v>Ушедший</v>
      </c>
      <c r="G5" s="6">
        <f t="shared" si="0"/>
        <v>257</v>
      </c>
      <c r="H5" s="6" t="str">
        <f t="shared" si="4"/>
        <v>Средний</v>
      </c>
      <c r="I5" s="6" t="str">
        <f t="shared" si="1"/>
        <v>Ядро</v>
      </c>
    </row>
    <row r="6" spans="1:25" ht="15.75" x14ac:dyDescent="0.25">
      <c r="A6" s="12">
        <v>5</v>
      </c>
      <c r="B6" s="19">
        <v>45553</v>
      </c>
      <c r="C6" s="19">
        <v>45660</v>
      </c>
      <c r="D6" s="21">
        <v>189000</v>
      </c>
      <c r="E6" s="6" t="str">
        <f t="shared" si="2"/>
        <v>Ушедший</v>
      </c>
      <c r="F6" s="6" t="str">
        <f t="shared" si="3"/>
        <v>Ушедший</v>
      </c>
      <c r="G6" s="6">
        <f t="shared" si="0"/>
        <v>107</v>
      </c>
      <c r="H6" s="6" t="str">
        <f t="shared" si="4"/>
        <v>Крупный</v>
      </c>
      <c r="I6" s="6" t="str">
        <f t="shared" si="1"/>
        <v>Ядро</v>
      </c>
    </row>
    <row r="7" spans="1:25" ht="15.75" x14ac:dyDescent="0.25">
      <c r="A7" s="12">
        <v>6</v>
      </c>
      <c r="B7" s="19">
        <v>45838</v>
      </c>
      <c r="C7" s="19">
        <v>45991</v>
      </c>
      <c r="D7" s="21">
        <v>21500</v>
      </c>
      <c r="E7" s="6" t="str">
        <f t="shared" si="2"/>
        <v>Активный</v>
      </c>
      <c r="F7" s="6" t="str">
        <f t="shared" si="3"/>
        <v>Лояльный</v>
      </c>
      <c r="G7" s="6">
        <f t="shared" si="0"/>
        <v>153</v>
      </c>
      <c r="H7" s="6" t="str">
        <f t="shared" si="4"/>
        <v>Средний</v>
      </c>
      <c r="I7" s="6" t="str">
        <f t="shared" si="1"/>
        <v>Ядро</v>
      </c>
    </row>
    <row r="8" spans="1:25" ht="15.75" x14ac:dyDescent="0.25">
      <c r="A8" s="12">
        <v>7</v>
      </c>
      <c r="B8" s="19">
        <v>45638</v>
      </c>
      <c r="C8" s="19">
        <v>45925</v>
      </c>
      <c r="D8" s="21">
        <v>67500</v>
      </c>
      <c r="E8" s="6" t="str">
        <f t="shared" si="2"/>
        <v>Ушедший</v>
      </c>
      <c r="F8" s="6" t="str">
        <f t="shared" si="3"/>
        <v>Ушедший</v>
      </c>
      <c r="G8" s="6">
        <f t="shared" si="0"/>
        <v>287</v>
      </c>
      <c r="H8" s="6" t="str">
        <f t="shared" si="4"/>
        <v>Крупный</v>
      </c>
      <c r="I8" s="6" t="str">
        <f t="shared" si="1"/>
        <v>Ядро</v>
      </c>
    </row>
    <row r="9" spans="1:25" ht="15.75" x14ac:dyDescent="0.25">
      <c r="A9" s="12">
        <v>8</v>
      </c>
      <c r="B9" s="19">
        <v>45750</v>
      </c>
      <c r="C9" s="19">
        <v>45750</v>
      </c>
      <c r="D9" s="21">
        <v>12000</v>
      </c>
      <c r="E9" s="6" t="str">
        <f t="shared" si="2"/>
        <v>Новый</v>
      </c>
      <c r="F9" s="6" t="str">
        <f t="shared" si="3"/>
        <v>Лояльный</v>
      </c>
      <c r="G9" s="6">
        <f t="shared" si="0"/>
        <v>0</v>
      </c>
      <c r="H9" s="6" t="str">
        <f t="shared" si="4"/>
        <v>Средний</v>
      </c>
      <c r="I9" s="6" t="str">
        <f t="shared" si="1"/>
        <v>Недавние</v>
      </c>
    </row>
    <row r="10" spans="1:25" ht="15.75" x14ac:dyDescent="0.25">
      <c r="A10" s="12">
        <v>9</v>
      </c>
      <c r="B10" s="19">
        <v>45518</v>
      </c>
      <c r="C10" s="19">
        <v>45935</v>
      </c>
      <c r="D10" s="21">
        <v>54200</v>
      </c>
      <c r="E10" s="6" t="str">
        <f t="shared" si="2"/>
        <v>Ушедший</v>
      </c>
      <c r="F10" s="6" t="str">
        <f t="shared" si="3"/>
        <v>Ушедший</v>
      </c>
      <c r="G10" s="6">
        <f t="shared" si="0"/>
        <v>417</v>
      </c>
      <c r="H10" s="6" t="str">
        <f t="shared" si="4"/>
        <v>Крупный</v>
      </c>
      <c r="I10" s="6" t="str">
        <f t="shared" si="1"/>
        <v>Ветераны</v>
      </c>
    </row>
    <row r="11" spans="1:25" ht="15.75" x14ac:dyDescent="0.25">
      <c r="A11" s="12">
        <v>10</v>
      </c>
      <c r="B11" s="19">
        <v>45715</v>
      </c>
      <c r="C11" s="19">
        <v>45995</v>
      </c>
      <c r="D11" s="21">
        <v>41000</v>
      </c>
      <c r="E11" s="6" t="str">
        <f t="shared" si="2"/>
        <v>Активный</v>
      </c>
      <c r="F11" s="6" t="str">
        <f t="shared" si="3"/>
        <v>Лояльный</v>
      </c>
      <c r="G11" s="6">
        <f t="shared" si="0"/>
        <v>280</v>
      </c>
      <c r="H11" s="6" t="str">
        <f t="shared" si="4"/>
        <v>Средний</v>
      </c>
      <c r="I11" s="6" t="str">
        <f t="shared" si="1"/>
        <v>Ядро</v>
      </c>
    </row>
    <row r="12" spans="1:25" ht="15.75" x14ac:dyDescent="0.25">
      <c r="A12" s="12">
        <v>11</v>
      </c>
      <c r="B12" s="19">
        <v>45431</v>
      </c>
      <c r="C12" s="19">
        <v>45960</v>
      </c>
      <c r="D12" s="21">
        <v>93700</v>
      </c>
      <c r="E12" s="6" t="str">
        <f t="shared" si="2"/>
        <v>Ушедший</v>
      </c>
      <c r="F12" s="6" t="str">
        <f t="shared" si="3"/>
        <v>Ушедший</v>
      </c>
      <c r="G12" s="6">
        <f t="shared" si="0"/>
        <v>529</v>
      </c>
      <c r="H12" s="6" t="str">
        <f t="shared" si="4"/>
        <v>Крупный</v>
      </c>
      <c r="I12" s="6" t="str">
        <f t="shared" si="1"/>
        <v>Ветераны</v>
      </c>
    </row>
    <row r="13" spans="1:25" ht="15.75" x14ac:dyDescent="0.25">
      <c r="A13" s="12">
        <v>12</v>
      </c>
      <c r="B13" s="19">
        <v>45846</v>
      </c>
      <c r="C13" s="19">
        <v>45846</v>
      </c>
      <c r="D13" s="21">
        <v>5500</v>
      </c>
      <c r="E13" s="6" t="str">
        <f t="shared" si="2"/>
        <v>Новый</v>
      </c>
      <c r="F13" s="6" t="str">
        <f t="shared" si="3"/>
        <v>Лояльный</v>
      </c>
      <c r="G13" s="6">
        <f t="shared" si="0"/>
        <v>0</v>
      </c>
      <c r="H13" s="6" t="str">
        <f t="shared" si="4"/>
        <v>Малый</v>
      </c>
      <c r="I13" s="6" t="str">
        <f t="shared" si="1"/>
        <v>Недавние</v>
      </c>
    </row>
    <row r="14" spans="1:25" ht="15.75" x14ac:dyDescent="0.25">
      <c r="A14" s="12">
        <v>13</v>
      </c>
      <c r="B14" s="19">
        <v>45312</v>
      </c>
      <c r="C14" s="19">
        <v>45852</v>
      </c>
      <c r="D14" s="21">
        <v>123400</v>
      </c>
      <c r="E14" s="6" t="str">
        <f t="shared" si="2"/>
        <v>Ушедший</v>
      </c>
      <c r="F14" s="6" t="str">
        <f t="shared" si="3"/>
        <v>Ушедший</v>
      </c>
      <c r="G14" s="6">
        <f t="shared" si="0"/>
        <v>540</v>
      </c>
      <c r="H14" s="6" t="str">
        <f t="shared" si="4"/>
        <v>Крупный</v>
      </c>
      <c r="I14" s="6" t="str">
        <f t="shared" si="1"/>
        <v>Ветераны</v>
      </c>
    </row>
    <row r="15" spans="1:25" ht="15.75" x14ac:dyDescent="0.25">
      <c r="A15" s="12">
        <v>14</v>
      </c>
      <c r="B15" s="19">
        <v>45911</v>
      </c>
      <c r="C15" s="19">
        <v>45995</v>
      </c>
      <c r="D15" s="21">
        <v>28600</v>
      </c>
      <c r="E15" s="6" t="str">
        <f t="shared" si="2"/>
        <v>Активный</v>
      </c>
      <c r="F15" s="6" t="str">
        <f t="shared" si="3"/>
        <v>Лояльный</v>
      </c>
      <c r="G15" s="6">
        <f t="shared" si="0"/>
        <v>84</v>
      </c>
      <c r="H15" s="6" t="str">
        <f t="shared" si="4"/>
        <v>Средний</v>
      </c>
      <c r="I15" s="6" t="str">
        <f t="shared" si="1"/>
        <v>Недавние</v>
      </c>
    </row>
    <row r="16" spans="1:25" ht="15.75" x14ac:dyDescent="0.25">
      <c r="A16" s="12">
        <v>15</v>
      </c>
      <c r="B16" s="19">
        <v>45630</v>
      </c>
      <c r="C16" s="19">
        <v>45889</v>
      </c>
      <c r="D16" s="21">
        <v>204500</v>
      </c>
      <c r="E16" s="6" t="str">
        <f t="shared" si="2"/>
        <v>Ушедший</v>
      </c>
      <c r="F16" s="6" t="str">
        <f t="shared" si="3"/>
        <v>Ушедший</v>
      </c>
      <c r="G16" s="6">
        <f t="shared" si="0"/>
        <v>259</v>
      </c>
      <c r="H16" s="6" t="str">
        <f t="shared" si="4"/>
        <v>Крупный</v>
      </c>
      <c r="I16" s="6" t="str">
        <f t="shared" si="1"/>
        <v>Ядро</v>
      </c>
    </row>
    <row r="17" spans="1:9" ht="15.75" x14ac:dyDescent="0.25">
      <c r="A17" s="12">
        <v>16</v>
      </c>
      <c r="B17" s="19">
        <v>45732</v>
      </c>
      <c r="C17" s="19">
        <v>45971</v>
      </c>
      <c r="D17" s="21">
        <v>37500</v>
      </c>
      <c r="E17" s="6" t="str">
        <f t="shared" si="2"/>
        <v>Активный</v>
      </c>
      <c r="F17" s="6" t="str">
        <f t="shared" si="3"/>
        <v>Лояльный</v>
      </c>
      <c r="G17" s="6">
        <f t="shared" si="0"/>
        <v>239</v>
      </c>
      <c r="H17" s="6" t="str">
        <f t="shared" si="4"/>
        <v>Средний</v>
      </c>
      <c r="I17" s="6" t="str">
        <f t="shared" si="1"/>
        <v>Ядро</v>
      </c>
    </row>
    <row r="18" spans="1:9" ht="15.75" x14ac:dyDescent="0.25">
      <c r="A18" s="12">
        <v>17</v>
      </c>
      <c r="B18" s="19">
        <v>45594</v>
      </c>
      <c r="C18" s="19">
        <v>45912</v>
      </c>
      <c r="D18" s="21">
        <v>61800</v>
      </c>
      <c r="E18" s="6" t="str">
        <f t="shared" si="2"/>
        <v>Ушедший</v>
      </c>
      <c r="F18" s="6" t="str">
        <f t="shared" si="3"/>
        <v>Ушедший</v>
      </c>
      <c r="G18" s="6">
        <f t="shared" si="0"/>
        <v>318</v>
      </c>
      <c r="H18" s="6" t="str">
        <f t="shared" si="4"/>
        <v>Крупный</v>
      </c>
      <c r="I18" s="6" t="str">
        <f t="shared" si="1"/>
        <v>Ядро</v>
      </c>
    </row>
    <row r="19" spans="1:9" ht="15.75" x14ac:dyDescent="0.25">
      <c r="A19" s="12">
        <v>18</v>
      </c>
      <c r="B19" s="19">
        <v>45830</v>
      </c>
      <c r="C19" s="19">
        <v>45830</v>
      </c>
      <c r="D19" s="21">
        <v>9100</v>
      </c>
      <c r="E19" s="6" t="str">
        <f t="shared" si="2"/>
        <v>Новый</v>
      </c>
      <c r="F19" s="6" t="str">
        <f t="shared" si="3"/>
        <v>Лояльный</v>
      </c>
      <c r="G19" s="6">
        <f t="shared" si="0"/>
        <v>0</v>
      </c>
      <c r="H19" s="6" t="str">
        <f t="shared" si="4"/>
        <v>Малый</v>
      </c>
      <c r="I19" s="6" t="str">
        <f t="shared" si="1"/>
        <v>Недавние</v>
      </c>
    </row>
    <row r="20" spans="1:9" ht="15.75" x14ac:dyDescent="0.25">
      <c r="A20" s="12">
        <v>19</v>
      </c>
      <c r="B20" s="19">
        <v>45329</v>
      </c>
      <c r="C20" s="19">
        <v>45948</v>
      </c>
      <c r="D20" s="21">
        <v>84200</v>
      </c>
      <c r="E20" s="6" t="str">
        <f t="shared" si="2"/>
        <v>Ушедший</v>
      </c>
      <c r="F20" s="6" t="str">
        <f t="shared" si="3"/>
        <v>Ушедший</v>
      </c>
      <c r="G20" s="6">
        <f t="shared" si="0"/>
        <v>619</v>
      </c>
      <c r="H20" s="6" t="str">
        <f t="shared" si="4"/>
        <v>Крупный</v>
      </c>
      <c r="I20" s="6" t="str">
        <f t="shared" si="1"/>
        <v>Ветераны</v>
      </c>
    </row>
    <row r="21" spans="1:9" ht="15.75" x14ac:dyDescent="0.25">
      <c r="A21" s="12">
        <v>20</v>
      </c>
      <c r="B21" s="19">
        <v>45790</v>
      </c>
      <c r="C21" s="19">
        <v>45995</v>
      </c>
      <c r="D21" s="21">
        <v>29500</v>
      </c>
      <c r="E21" s="6" t="str">
        <f t="shared" si="2"/>
        <v>Активный</v>
      </c>
      <c r="F21" s="6" t="str">
        <f t="shared" si="3"/>
        <v>Лояльный</v>
      </c>
      <c r="G21" s="6">
        <f t="shared" si="0"/>
        <v>205</v>
      </c>
      <c r="H21" s="6" t="str">
        <f t="shared" si="4"/>
        <v>Средний</v>
      </c>
      <c r="I21" s="6" t="str">
        <f t="shared" si="1"/>
        <v>Ядро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7103-183B-41F9-8D8F-2940455D55C3}">
  <dimension ref="A1:K37"/>
  <sheetViews>
    <sheetView tabSelected="1" topLeftCell="A19" zoomScaleNormal="100" workbookViewId="0">
      <selection activeCell="B7" sqref="B7"/>
    </sheetView>
  </sheetViews>
  <sheetFormatPr defaultRowHeight="21" x14ac:dyDescent="0.35"/>
  <cols>
    <col min="1" max="1" width="28.7109375" style="7" bestFit="1" customWidth="1"/>
    <col min="2" max="2" width="10.85546875" style="7" bestFit="1" customWidth="1"/>
    <col min="3" max="3" width="10.5703125" style="7" bestFit="1" customWidth="1"/>
    <col min="4" max="4" width="22.7109375" style="7" bestFit="1" customWidth="1"/>
    <col min="5" max="5" width="17.5703125" style="7" customWidth="1"/>
    <col min="6" max="6" width="10.5703125" style="7" bestFit="1" customWidth="1"/>
    <col min="7" max="9" width="9.140625" style="7"/>
    <col min="10" max="10" width="27.85546875" style="7" bestFit="1" customWidth="1"/>
    <col min="11" max="11" width="16" style="7" bestFit="1" customWidth="1"/>
    <col min="12" max="16384" width="9.140625" style="7"/>
  </cols>
  <sheetData>
    <row r="1" spans="1:11" x14ac:dyDescent="0.35">
      <c r="A1" s="38" t="s">
        <v>9</v>
      </c>
      <c r="B1" s="38"/>
      <c r="C1" s="38"/>
      <c r="D1" s="38"/>
      <c r="E1" s="38"/>
      <c r="F1" s="38"/>
      <c r="G1" s="38"/>
      <c r="J1" s="5"/>
      <c r="K1" s="5"/>
    </row>
    <row r="2" spans="1:11" x14ac:dyDescent="0.35">
      <c r="J2" s="1"/>
      <c r="K2" s="1"/>
    </row>
    <row r="3" spans="1:11" x14ac:dyDescent="0.35">
      <c r="A3" s="39" t="s">
        <v>10</v>
      </c>
      <c r="B3" s="39"/>
      <c r="D3" s="40"/>
      <c r="E3" s="40"/>
      <c r="F3" s="40"/>
    </row>
    <row r="4" spans="1:11" x14ac:dyDescent="0.35">
      <c r="A4" s="9" t="s">
        <v>11</v>
      </c>
      <c r="B4" s="12">
        <f>COUNTIFS('Исходные данные'!H2:H21,"&lt;&gt;", 'Исходные данные'!I2:I21,"&lt;&gt;")</f>
        <v>20</v>
      </c>
      <c r="D4" s="25"/>
      <c r="E4" s="26"/>
      <c r="F4" s="27"/>
    </row>
    <row r="5" spans="1:11" x14ac:dyDescent="0.35">
      <c r="A5" s="9" t="s">
        <v>12</v>
      </c>
      <c r="B5" s="11">
        <f>COUNTIF('Исходные данные'!F:F,"Лояльный")</f>
        <v>10</v>
      </c>
      <c r="D5" s="9"/>
      <c r="E5" s="10"/>
      <c r="F5" s="28"/>
    </row>
    <row r="6" spans="1:11" x14ac:dyDescent="0.35">
      <c r="A6" s="9" t="s">
        <v>13</v>
      </c>
      <c r="B6" s="11">
        <f>COUNTIF('Исходные данные'!F:F,"Ушедший")</f>
        <v>10</v>
      </c>
      <c r="D6" s="9"/>
      <c r="E6" s="10"/>
      <c r="F6" s="28"/>
    </row>
    <row r="7" spans="1:11" x14ac:dyDescent="0.35">
      <c r="A7" s="9" t="s">
        <v>15</v>
      </c>
      <c r="B7" s="14">
        <f>IF(B4&gt;0, B6/B4, 0)</f>
        <v>0.5</v>
      </c>
      <c r="D7" s="9"/>
      <c r="E7" s="10"/>
      <c r="F7" s="28"/>
    </row>
    <row r="8" spans="1:11" x14ac:dyDescent="0.35">
      <c r="A8" s="9" t="s">
        <v>14</v>
      </c>
      <c r="B8" s="11">
        <f>ROUND(AVERAGEIF('Исходные данные'!G:G,"&gt;0"),0)</f>
        <v>308</v>
      </c>
      <c r="D8" s="29"/>
      <c r="E8" s="30"/>
      <c r="F8" s="31"/>
    </row>
    <row r="9" spans="1:11" x14ac:dyDescent="0.35">
      <c r="A9" s="9" t="s">
        <v>16</v>
      </c>
      <c r="B9" s="11">
        <f>AVERAGE('Исходные данные'!D:D)</f>
        <v>63705</v>
      </c>
      <c r="D9" s="25"/>
      <c r="E9" s="26"/>
      <c r="F9" s="31"/>
    </row>
    <row r="10" spans="1:11" x14ac:dyDescent="0.35">
      <c r="D10" s="9"/>
      <c r="E10" s="10"/>
      <c r="F10" s="28"/>
    </row>
    <row r="11" spans="1:11" x14ac:dyDescent="0.35">
      <c r="A11" s="39" t="s">
        <v>17</v>
      </c>
      <c r="B11" s="39"/>
      <c r="C11" s="39"/>
      <c r="D11" s="9"/>
      <c r="E11" s="10"/>
      <c r="F11" s="28"/>
    </row>
    <row r="12" spans="1:11" x14ac:dyDescent="0.35">
      <c r="A12" s="17" t="s">
        <v>18</v>
      </c>
      <c r="B12" s="15"/>
      <c r="C12" s="18" t="s">
        <v>27</v>
      </c>
      <c r="D12" s="9"/>
      <c r="E12" s="10"/>
      <c r="F12" s="28"/>
    </row>
    <row r="13" spans="1:11" x14ac:dyDescent="0.35">
      <c r="A13" s="9" t="s">
        <v>19</v>
      </c>
      <c r="B13" s="10">
        <f>COUNTIF('Исходные данные'!H:H,"Малый")</f>
        <v>3</v>
      </c>
      <c r="C13" s="13">
        <f>B13/$B$16</f>
        <v>0.15</v>
      </c>
      <c r="D13" s="25"/>
      <c r="E13" s="30"/>
      <c r="F13" s="32"/>
    </row>
    <row r="14" spans="1:11" x14ac:dyDescent="0.35">
      <c r="A14" s="9" t="s">
        <v>20</v>
      </c>
      <c r="B14" s="10">
        <f>COUNTIF('Исходные данные'!H:H,"Средний")</f>
        <v>8</v>
      </c>
      <c r="C14" s="13">
        <f t="shared" ref="C14:C15" si="0">B14/$B$16</f>
        <v>0.4</v>
      </c>
    </row>
    <row r="15" spans="1:11" x14ac:dyDescent="0.35">
      <c r="A15" s="9" t="s">
        <v>21</v>
      </c>
      <c r="B15" s="10">
        <f>COUNTIF('Исходные данные'!H:H,"Крупный")</f>
        <v>9</v>
      </c>
      <c r="C15" s="13">
        <f t="shared" si="0"/>
        <v>0.45</v>
      </c>
    </row>
    <row r="16" spans="1:11" x14ac:dyDescent="0.35">
      <c r="A16" s="22" t="s">
        <v>26</v>
      </c>
      <c r="B16" s="23">
        <f>SUM(B13:B15)</f>
        <v>20</v>
      </c>
      <c r="C16" s="24"/>
    </row>
    <row r="17" spans="1:3" x14ac:dyDescent="0.35">
      <c r="A17" s="17" t="s">
        <v>22</v>
      </c>
      <c r="B17" s="15"/>
      <c r="C17" s="16"/>
    </row>
    <row r="18" spans="1:3" x14ac:dyDescent="0.35">
      <c r="A18" s="9" t="s">
        <v>23</v>
      </c>
      <c r="B18" s="10">
        <f>COUNTIF('Исходные данные'!I:I,"Недавние")</f>
        <v>5</v>
      </c>
      <c r="C18" s="8">
        <f>B18/$B$21</f>
        <v>0.25</v>
      </c>
    </row>
    <row r="19" spans="1:3" x14ac:dyDescent="0.35">
      <c r="A19" s="9" t="s">
        <v>24</v>
      </c>
      <c r="B19" s="10">
        <f>COUNTIF('Исходные данные'!I:I,"Ядро")</f>
        <v>11</v>
      </c>
      <c r="C19" s="8">
        <f t="shared" ref="C19:C20" si="1">B19/$B$21</f>
        <v>0.55000000000000004</v>
      </c>
    </row>
    <row r="20" spans="1:3" x14ac:dyDescent="0.35">
      <c r="A20" s="9" t="s">
        <v>25</v>
      </c>
      <c r="B20" s="10">
        <f>COUNTIF('Исходные данные'!I:I,"Ветераны")</f>
        <v>4</v>
      </c>
      <c r="C20" s="8">
        <f t="shared" si="1"/>
        <v>0.2</v>
      </c>
    </row>
    <row r="21" spans="1:3" x14ac:dyDescent="0.35">
      <c r="A21" s="33" t="s">
        <v>26</v>
      </c>
      <c r="B21" s="34">
        <f>SUM(B18:B20)</f>
        <v>20</v>
      </c>
      <c r="C21" s="35"/>
    </row>
    <row r="23" spans="1:3" x14ac:dyDescent="0.35">
      <c r="A23" s="41" t="s">
        <v>28</v>
      </c>
      <c r="B23" s="41"/>
      <c r="C23" s="36"/>
    </row>
    <row r="24" spans="1:3" x14ac:dyDescent="0.35">
      <c r="A24" s="37" t="s">
        <v>29</v>
      </c>
      <c r="B24" s="37" t="s">
        <v>30</v>
      </c>
    </row>
    <row r="25" spans="1:3" x14ac:dyDescent="0.35">
      <c r="A25" s="43">
        <v>45658</v>
      </c>
      <c r="B25" s="11" cm="1">
        <f t="array" ref="B25">SUMPRODUCT(
  (MONTH('Исходные данные'!$C$2:$C$100)=1)*
  (YEAR('Исходные данные'!$C$2:$C$100)=2025)*
  ('Исходные данные'!$F$2:$F$100="Ушедший")
)</f>
        <v>1</v>
      </c>
    </row>
    <row r="26" spans="1:3" x14ac:dyDescent="0.35">
      <c r="A26" s="43">
        <v>45689</v>
      </c>
      <c r="B26" s="11" cm="1">
        <f t="array" ref="B26">SUMPRODUCT(
  (MONTH('Исходные данные'!$C$2:$C$100)=2)*
  (YEAR('Исходные данные'!$C$2:$C$100)=2025)*
  ('Исходные данные'!$F$2:$F$100="Ушедший")
)</f>
        <v>0</v>
      </c>
    </row>
    <row r="27" spans="1:3" x14ac:dyDescent="0.35">
      <c r="A27" s="43">
        <v>45717</v>
      </c>
      <c r="B27" s="11" cm="1">
        <f t="array" ref="B27">SUMPRODUCT(
  (MONTH('Исходные данные'!$C$2:$C$100)=3)*
  (YEAR('Исходные данные'!$C$2:$C$100)=2025)*
  ('Исходные данные'!$F$2:$F$100="Ушедший")
)</f>
        <v>0</v>
      </c>
    </row>
    <row r="28" spans="1:3" x14ac:dyDescent="0.35">
      <c r="A28" s="43">
        <v>45748</v>
      </c>
      <c r="B28" s="11" cm="1">
        <f t="array" ref="B28">SUMPRODUCT(
  (MONTH('Исходные данные'!$C$2:$C$100)=4)*
  (YEAR('Исходные данные'!$C$2:$C$100)=2025)*
  ('Исходные данные'!$F$2:$F$100="Ушедший")
)</f>
        <v>0</v>
      </c>
    </row>
    <row r="29" spans="1:3" x14ac:dyDescent="0.35">
      <c r="A29" s="43">
        <v>45778</v>
      </c>
      <c r="B29" s="11" cm="1">
        <f t="array" ref="B29">SUMPRODUCT(
  (MONTH('Исходные данные'!$C$2:$C$100)=5)*
  (YEAR('Исходные данные'!$C$2:$C$100)=2025)*
  ('Исходные данные'!$F$2:$F$100="Ушедший")
)</f>
        <v>0</v>
      </c>
    </row>
    <row r="30" spans="1:3" x14ac:dyDescent="0.35">
      <c r="A30" s="43">
        <v>45809</v>
      </c>
      <c r="B30" s="11" cm="1">
        <f t="array" ref="B30">SUMPRODUCT(
  (MONTH('Исходные данные'!$C$2:$C$100)=6)*
  (YEAR('Исходные данные'!$C$2:$C$100)=2025)*
  ('Исходные данные'!$F$2:$F$100="Ушедший")
)</f>
        <v>0</v>
      </c>
    </row>
    <row r="31" spans="1:3" x14ac:dyDescent="0.35">
      <c r="A31" s="43">
        <v>45839</v>
      </c>
      <c r="B31" s="11" cm="1">
        <f t="array" ref="B31">SUMPRODUCT(
  (MONTH('Исходные данные'!$C$2:$C$100)=7)*
  (YEAR('Исходные данные'!$C$2:$C$100)=2025)*
  ('Исходные данные'!$F$2:$F$100="Ушедший")
)</f>
        <v>1</v>
      </c>
    </row>
    <row r="32" spans="1:3" x14ac:dyDescent="0.35">
      <c r="A32" s="43">
        <v>45870</v>
      </c>
      <c r="B32" s="11" cm="1">
        <f t="array" ref="B32">SUMPRODUCT(
  (MONTH('Исходные данные'!$C$2:$C$100)=8)*
  (YEAR('Исходные данные'!$C$2:$C$100)=2025)*
  ('Исходные данные'!$F$2:$F$100="Ушедший")
)</f>
        <v>2</v>
      </c>
    </row>
    <row r="33" spans="1:2" x14ac:dyDescent="0.35">
      <c r="A33" s="43">
        <v>45901</v>
      </c>
      <c r="B33" s="11" cm="1">
        <f t="array" ref="B33">SUMPRODUCT(
  (MONTH('Исходные данные'!$C$2:$C$100)=9)*
  (YEAR('Исходные данные'!$C$2:$C$100)=2025)*
  ('Исходные данные'!$F$2:$F$100="Ушедший")
)</f>
        <v>2</v>
      </c>
    </row>
    <row r="34" spans="1:2" x14ac:dyDescent="0.35">
      <c r="A34" s="43">
        <v>45931</v>
      </c>
      <c r="B34" s="11" cm="1">
        <f t="array" ref="B34">SUMPRODUCT(
  (MONTH('Исходные данные'!$C$2:$C$100)=10)*
  (YEAR('Исходные данные'!$C$2:$C$100)=2025)*
  ('Исходные данные'!$F$2:$F$100="Ушедший")
)</f>
        <v>4</v>
      </c>
    </row>
    <row r="35" spans="1:2" x14ac:dyDescent="0.35">
      <c r="A35" s="43">
        <v>45962</v>
      </c>
      <c r="B35" s="11" cm="1">
        <f t="array" ref="B35">SUMPRODUCT(
  (MONTH('Исходные данные'!$C$2:$C$100)=11)*
  (YEAR('Исходные данные'!$C$2:$C$100)=2025)*
  ('Исходные данные'!$F$2:$F$100="Ушедший")
)</f>
        <v>0</v>
      </c>
    </row>
    <row r="36" spans="1:2" x14ac:dyDescent="0.35">
      <c r="A36" s="43">
        <v>45992</v>
      </c>
      <c r="B36" s="11" cm="1">
        <f t="array" ref="B36">SUMPRODUCT(
  (MONTH('Исходные данные'!$C$2:$C$100)=12)*
  (YEAR('Исходные данные'!$C$2:$C$100)=2025)*
  ('Исходные данные'!$F$2:$F$100="Ушедший")
)</f>
        <v>0</v>
      </c>
    </row>
    <row r="37" spans="1:2" x14ac:dyDescent="0.35">
      <c r="A37" s="42"/>
    </row>
  </sheetData>
  <mergeCells count="5">
    <mergeCell ref="A1:G1"/>
    <mergeCell ref="A3:B3"/>
    <mergeCell ref="D3:F3"/>
    <mergeCell ref="A11:C11"/>
    <mergeCell ref="A23:B23"/>
  </mergeCells>
  <conditionalFormatting sqref="B7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D81D288-6B32-4DE3-861F-2F8E5920B0FF}">
            <x14:iconSet iconSet="3Symbols" custom="1">
              <x14:cfvo type="percent">
                <xm:f>0</xm:f>
              </x14:cfvo>
              <x14:cfvo type="percent">
                <xm:f>20</xm:f>
              </x14:cfvo>
              <x14:cfvo type="percent">
                <xm:f>50</xm:f>
              </x14:cfvo>
              <x14:cfIcon iconSet="3Symbols" iconId="2"/>
              <x14:cfIcon iconSet="3Symbols" iconId="1"/>
              <x14:cfIcon iconSet="3Symbols" iconId="0"/>
            </x14:iconSet>
          </x14:cfRule>
          <x14:cfRule type="iconSet" priority="2" id="{3C4CC9DB-0F2B-43EC-A0D2-87E33913D9DA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50</xm:f>
              </x14:cfvo>
              <x14:cfIcon iconSet="3TrafficLights1" iconId="0"/>
              <x14:cfIcon iconSet="3TrafficLights1" iconId="1"/>
              <x14:cfIcon iconSet="3TrafficLights1" iconId="0"/>
            </x14:iconSet>
          </x14:cfRule>
          <xm:sqref>B7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Мурлыкина</dc:creator>
  <cp:lastModifiedBy>Мария Мурлыка</cp:lastModifiedBy>
  <dcterms:created xsi:type="dcterms:W3CDTF">2015-06-05T18:19:34Z</dcterms:created>
  <dcterms:modified xsi:type="dcterms:W3CDTF">2025-12-04T19:15:05Z</dcterms:modified>
</cp:coreProperties>
</file>